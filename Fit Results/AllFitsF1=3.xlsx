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43B52CCC-E55F-4EDB-853A-87FBB98AAE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M1" i="4"/>
  <c r="M2" i="4" s="1"/>
  <c r="M1" i="3"/>
  <c r="M2" i="3" s="1"/>
  <c r="K13" i="1" l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1" i="4" l="1"/>
  <c r="K2" i="4" s="1"/>
  <c r="L1" i="4"/>
  <c r="L2" i="4" s="1"/>
  <c r="K1" i="3"/>
  <c r="L1" i="3"/>
  <c r="L2" i="3" s="1"/>
  <c r="K2" i="3" l="1"/>
  <c r="G1" i="4" l="1"/>
  <c r="G2" i="4" s="1"/>
  <c r="C1" i="4"/>
  <c r="D1" i="4"/>
  <c r="E1" i="4"/>
  <c r="F1" i="4"/>
  <c r="H1" i="4"/>
  <c r="H2" i="4" s="1"/>
  <c r="I1" i="4"/>
  <c r="I2" i="4" s="1"/>
  <c r="J1" i="4"/>
  <c r="J2" i="4" s="1"/>
  <c r="C2" i="4"/>
  <c r="D2" i="4"/>
  <c r="E2" i="4"/>
  <c r="B1" i="4"/>
  <c r="B2" i="4" s="1"/>
  <c r="B1" i="3"/>
  <c r="B2" i="3" s="1"/>
  <c r="E2" i="3"/>
  <c r="F2" i="3"/>
  <c r="K3" i="1" s="1"/>
  <c r="C1" i="3"/>
  <c r="C2" i="3" s="1"/>
  <c r="D1" i="3"/>
  <c r="D2" i="3" s="1"/>
  <c r="E1" i="3"/>
  <c r="F1" i="3"/>
  <c r="K2" i="1" s="1"/>
  <c r="G1" i="3"/>
  <c r="G2" i="3" s="1"/>
  <c r="H1" i="3"/>
  <c r="H2" i="3" s="1"/>
  <c r="I1" i="3"/>
  <c r="I2" i="3" s="1"/>
  <c r="J1" i="3"/>
  <c r="J2" i="3" s="1"/>
  <c r="F2" i="4" l="1"/>
  <c r="J3" i="1" s="1"/>
  <c r="J2" i="1"/>
</calcChain>
</file>

<file path=xl/sharedStrings.xml><?xml version="1.0" encoding="utf-8"?>
<sst xmlns="http://schemas.openxmlformats.org/spreadsheetml/2006/main" count="339" uniqueCount="316">
  <si>
    <t>Date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</si>
  <si>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</si>
  <si>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</si>
  <si>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</si>
  <si>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</si>
  <si>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</si>
  <si>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</si>
  <si>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</si>
  <si>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</si>
  <si>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</si>
  <si>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</si>
  <si>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</si>
  <si>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</si>
  <si>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</si>
  <si>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</si>
  <si>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</si>
  <si>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</si>
  <si>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</si>
  <si>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</si>
  <si>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</si>
  <si>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</si>
  <si>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</si>
  <si>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</si>
  <si>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</si>
  <si>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</si>
  <si>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</si>
  <si>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</si>
  <si>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</si>
  <si>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</si>
  <si>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</si>
  <si>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</si>
  <si>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</si>
  <si>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</si>
  <si>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</si>
  <si>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</si>
  <si>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</si>
  <si>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</si>
  <si>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</si>
  <si>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</si>
  <si>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</si>
  <si>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</si>
  <si>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</si>
  <si>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</si>
  <si>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</si>
  <si>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</si>
  <si>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</si>
  <si>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</si>
  <si>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</si>
  <si>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</si>
  <si>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</si>
  <si>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</si>
  <si>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</si>
  <si>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</si>
  <si>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</si>
  <si>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</si>
  <si>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</si>
  <si>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</si>
  <si>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</si>
  <si>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</si>
  <si>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</si>
  <si>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</si>
  <si>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</si>
  <si>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</si>
  <si>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</si>
  <si>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</si>
  <si>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</si>
  <si>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</si>
  <si>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</si>
  <si>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</si>
  <si>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</si>
  <si>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</si>
  <si>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</si>
  <si>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</si>
  <si>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</si>
  <si>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</si>
  <si>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</si>
  <si>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</si>
  <si>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</si>
  <si>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</si>
  <si>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</si>
  <si>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</si>
  <si>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</si>
  <si>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</si>
  <si>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</si>
  <si>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</si>
  <si>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</si>
  <si>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</si>
  <si>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</si>
  <si>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</si>
  <si>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</si>
  <si>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</si>
  <si>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</si>
  <si>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</si>
  <si>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</si>
  <si>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</si>
  <si>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</si>
  <si>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</si>
  <si>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</si>
  <si>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</si>
  <si>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</si>
  <si>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</si>
  <si>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</si>
  <si>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</si>
  <si>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</si>
  <si>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</si>
  <si>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</si>
  <si>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</si>
  <si>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</si>
  <si>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</si>
  <si>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</si>
  <si>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</si>
  <si>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</si>
  <si>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</si>
  <si>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</si>
  <si>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</si>
  <si>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</si>
  <si>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</si>
  <si>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</si>
  <si>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</si>
  <si>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</si>
  <si>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</si>
  <si>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</si>
  <si>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</si>
  <si>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</si>
  <si>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</si>
  <si>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</si>
  <si>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</si>
  <si>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</si>
  <si>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</si>
  <si>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</si>
  <si>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</si>
  <si>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</si>
  <si>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</si>
  <si>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</si>
  <si>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</si>
  <si>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</si>
  <si>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</si>
  <si>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</si>
  <si>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</si>
  <si>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</si>
  <si>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</si>
  <si>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</si>
  <si>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</si>
  <si>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</si>
  <si>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</si>
  <si>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</si>
  <si>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</si>
  <si>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</si>
  <si>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</si>
  <si>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</si>
  <si>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</si>
  <si>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</si>
  <si>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</si>
  <si>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</si>
  <si>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</si>
  <si>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</si>
  <si>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</si>
  <si>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</si>
  <si>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</si>
  <si>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</si>
  <si>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</si>
  <si>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</si>
  <si>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</si>
  <si>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</si>
  <si>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</si>
  <si>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</si>
  <si>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</si>
  <si>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</si>
  <si>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</si>
  <si>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</si>
  <si>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</si>
  <si>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</si>
  <si>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</si>
  <si>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</si>
  <si>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</si>
  <si>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</si>
  <si>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</si>
  <si>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</si>
  <si>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</si>
  <si>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</si>
  <si>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</si>
  <si>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</si>
  <si>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</si>
  <si>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</si>
  <si>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</si>
  <si>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</si>
  <si>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</si>
  <si>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</si>
  <si>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</si>
  <si>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</si>
  <si>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</si>
  <si>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</si>
  <si>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</si>
  <si>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</si>
  <si>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</si>
  <si>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</si>
  <si>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</si>
  <si>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</si>
  <si>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</si>
  <si>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</si>
  <si>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</si>
  <si>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</si>
  <si>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</si>
  <si>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</si>
  <si>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</si>
  <si>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</si>
  <si>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</si>
  <si>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</si>
  <si>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</si>
  <si>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</si>
  <si>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</si>
  <si>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</si>
  <si>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</si>
  <si>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</si>
  <si>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</si>
  <si>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</si>
  <si>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</si>
  <si>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</si>
  <si>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</si>
  <si>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</si>
  <si>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</si>
  <si>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</si>
  <si>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</si>
  <si>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</si>
  <si>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</si>
  <si>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</si>
  <si>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</si>
  <si>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</si>
  <si>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</si>
  <si>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</si>
  <si>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</si>
  <si>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</si>
  <si>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</si>
  <si>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</si>
  <si>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</si>
  <si>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</si>
  <si>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</si>
  <si>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</si>
  <si>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</si>
  <si>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</si>
  <si>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</si>
  <si>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</si>
  <si>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</si>
  <si>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</si>
  <si>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</si>
  <si>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</si>
  <si>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</si>
  <si>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</si>
  <si>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</si>
  <si>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</si>
  <si>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</si>
  <si>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</si>
  <si>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</si>
  <si>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</si>
  <si>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</si>
  <si>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</si>
  <si>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</si>
  <si>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</si>
  <si>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</si>
  <si>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</si>
  <si>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</si>
  <si>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</si>
  <si>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</si>
  <si>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</si>
  <si>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</si>
  <si>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</si>
  <si>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</si>
  <si>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</si>
  <si>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</si>
  <si>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</si>
  <si>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</si>
  <si>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</si>
  <si>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</si>
  <si>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Jul01,2026</t>
  </si>
  <si>
    <t>Jul02,2026</t>
  </si>
  <si>
    <t>Jun02,2026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</si>
  <si>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</si>
  <si>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</si>
  <si>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</si>
  <si>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</si>
  <si>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</si>
  <si>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</si>
  <si>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</si>
  <si>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</si>
  <si>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</si>
  <si>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</si>
  <si>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</si>
  <si>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</si>
  <si>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</si>
  <si>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</si>
  <si>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</si>
  <si>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</si>
  <si>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</si>
  <si>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</si>
  <si>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</si>
  <si>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</si>
  <si>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</si>
  <si>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</si>
  <si>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</si>
  <si>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</si>
  <si>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</si>
  <si>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</si>
  <si>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</si>
  <si>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</si>
  <si>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</si>
  <si>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</si>
  <si>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</si>
  <si>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Jul06,2026</t>
  </si>
  <si>
    <t>Jul06,2027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</si>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</sst>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1508139301094998E-2"/>
                  <c:y val="-1.33307947265477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Together'!$B$2:$B$297</c:f>
              <c:numCache>
                <c:formatCode>General</c:formatCode>
                <c:ptCount val="29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  <c:pt idx="271">
                  <c:v>18.041509768701101</c:v>
                </c:pt>
                <c:pt idx="272">
                  <c:v>18.113057907959</c:v>
                </c:pt>
                <c:pt idx="273">
                  <c:v>18.000340035364701</c:v>
                </c:pt>
                <c:pt idx="274">
                  <c:v>18.056008326627001</c:v>
                </c:pt>
                <c:pt idx="275">
                  <c:v>18.143480906181601</c:v>
                </c:pt>
                <c:pt idx="276">
                  <c:v>18.0505063076521</c:v>
                </c:pt>
                <c:pt idx="277">
                  <c:v>17.975837914720699</c:v>
                </c:pt>
                <c:pt idx="278">
                  <c:v>17.958408612980101</c:v>
                </c:pt>
                <c:pt idx="279">
                  <c:v>18.089794941394199</c:v>
                </c:pt>
                <c:pt idx="280">
                  <c:v>18.011107051113001</c:v>
                </c:pt>
                <c:pt idx="281">
                  <c:v>18.059805482066999</c:v>
                </c:pt>
                <c:pt idx="282">
                  <c:v>17.9483749982906</c:v>
                </c:pt>
                <c:pt idx="283">
                  <c:v>17.986594818813899</c:v>
                </c:pt>
                <c:pt idx="284">
                  <c:v>18.0136321630971</c:v>
                </c:pt>
                <c:pt idx="285">
                  <c:v>18.175378572568899</c:v>
                </c:pt>
                <c:pt idx="286">
                  <c:v>18.118575471661899</c:v>
                </c:pt>
                <c:pt idx="287">
                  <c:v>17.929983986435602</c:v>
                </c:pt>
                <c:pt idx="288">
                  <c:v>18.106604307150199</c:v>
                </c:pt>
                <c:pt idx="289">
                  <c:v>17.996855885347902</c:v>
                </c:pt>
                <c:pt idx="290">
                  <c:v>18.121396667491499</c:v>
                </c:pt>
                <c:pt idx="291">
                  <c:v>18.094216738234799</c:v>
                </c:pt>
                <c:pt idx="292">
                  <c:v>18.1174045096291</c:v>
                </c:pt>
                <c:pt idx="293">
                  <c:v>17.975345051957699</c:v>
                </c:pt>
                <c:pt idx="294">
                  <c:v>18.0641154539816</c:v>
                </c:pt>
                <c:pt idx="295">
                  <c:v>18.268545430641002</c:v>
                </c:pt>
              </c:numCache>
            </c:numRef>
          </c:xVal>
          <c:yVal>
            <c:numRef>
              <c:f>'All Together'!$C$2:$C$297</c:f>
              <c:numCache>
                <c:formatCode>General</c:formatCode>
                <c:ptCount val="29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  <c:pt idx="271">
                  <c:v>0.29184259037329402</c:v>
                </c:pt>
                <c:pt idx="272">
                  <c:v>0.29495272762742802</c:v>
                </c:pt>
                <c:pt idx="273">
                  <c:v>0.29546767207366198</c:v>
                </c:pt>
                <c:pt idx="274">
                  <c:v>0.29613521382059799</c:v>
                </c:pt>
                <c:pt idx="275">
                  <c:v>0.29582825670155199</c:v>
                </c:pt>
                <c:pt idx="276">
                  <c:v>0.29449530569974303</c:v>
                </c:pt>
                <c:pt idx="277">
                  <c:v>0.29806425275037302</c:v>
                </c:pt>
                <c:pt idx="278">
                  <c:v>0.29361605170472399</c:v>
                </c:pt>
                <c:pt idx="279">
                  <c:v>0.29750345759486801</c:v>
                </c:pt>
                <c:pt idx="280">
                  <c:v>0.29221770492358401</c:v>
                </c:pt>
                <c:pt idx="281">
                  <c:v>0.29462962623990302</c:v>
                </c:pt>
                <c:pt idx="282">
                  <c:v>0.29592312403825599</c:v>
                </c:pt>
                <c:pt idx="283">
                  <c:v>0.29448024773360298</c:v>
                </c:pt>
                <c:pt idx="284">
                  <c:v>0.29587930445673999</c:v>
                </c:pt>
                <c:pt idx="285">
                  <c:v>0.28842517989208999</c:v>
                </c:pt>
                <c:pt idx="286">
                  <c:v>0.29360342062414901</c:v>
                </c:pt>
                <c:pt idx="287">
                  <c:v>0.28921987206488498</c:v>
                </c:pt>
                <c:pt idx="288">
                  <c:v>0.29134851176696303</c:v>
                </c:pt>
                <c:pt idx="289">
                  <c:v>0.29264779346075898</c:v>
                </c:pt>
                <c:pt idx="290">
                  <c:v>0.28825504808202801</c:v>
                </c:pt>
                <c:pt idx="291">
                  <c:v>0.29422715038680303</c:v>
                </c:pt>
                <c:pt idx="292">
                  <c:v>0.295993095562951</c:v>
                </c:pt>
                <c:pt idx="293">
                  <c:v>0.291643296428021</c:v>
                </c:pt>
                <c:pt idx="294">
                  <c:v>0.29408431924388001</c:v>
                </c:pt>
                <c:pt idx="295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059470718923731E-2"/>
          <c:y val="1.2079544912921066E-2"/>
          <c:w val="0.8897860623661018"/>
          <c:h val="0.95410005435266798"/>
        </c:manualLayout>
      </c:layout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Together'!$C$2:$C$6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Together'!$B$7:$B$33</c:f>
              <c:numCache>
                <c:formatCode>General</c:formatCode>
                <c:ptCount val="27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8.1948628050432095</c:v>
                </c:pt>
                <c:pt idx="4">
                  <c:v>8.1304154901890406</c:v>
                </c:pt>
                <c:pt idx="5">
                  <c:v>8.2121360213246692</c:v>
                </c:pt>
                <c:pt idx="6">
                  <c:v>8.2898703177931896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8.53551089338964</c:v>
                </c:pt>
                <c:pt idx="13">
                  <c:v>8.4721216638779193</c:v>
                </c:pt>
                <c:pt idx="14">
                  <c:v>8.4953666075608503</c:v>
                </c:pt>
                <c:pt idx="15">
                  <c:v>8.7711252103094601</c:v>
                </c:pt>
                <c:pt idx="16">
                  <c:v>8.5996727461700306</c:v>
                </c:pt>
                <c:pt idx="17">
                  <c:v>8.5801266895029205</c:v>
                </c:pt>
                <c:pt idx="18">
                  <c:v>8.5783681642005494</c:v>
                </c:pt>
                <c:pt idx="19">
                  <c:v>8.6129268121772302</c:v>
                </c:pt>
                <c:pt idx="20">
                  <c:v>8.6349505815443095</c:v>
                </c:pt>
                <c:pt idx="21">
                  <c:v>8.5827352500219707</c:v>
                </c:pt>
                <c:pt idx="22">
                  <c:v>8.6033820921791602</c:v>
                </c:pt>
                <c:pt idx="23">
                  <c:v>8.6784045244654298</c:v>
                </c:pt>
                <c:pt idx="24">
                  <c:v>8.6432150051153496</c:v>
                </c:pt>
                <c:pt idx="25">
                  <c:v>8.4545546426380405</c:v>
                </c:pt>
                <c:pt idx="26">
                  <c:v>8.5889106546587897</c:v>
                </c:pt>
              </c:numCache>
            </c:numRef>
          </c:xVal>
          <c:yVal>
            <c:numRef>
              <c:f>'All Together'!$C$7:$C$33</c:f>
              <c:numCache>
                <c:formatCode>General</c:formatCode>
                <c:ptCount val="27"/>
                <c:pt idx="0">
                  <c:v>0.13688104388401501</c:v>
                </c:pt>
                <c:pt idx="1">
                  <c:v>0.135835488526413</c:v>
                </c:pt>
                <c:pt idx="2">
                  <c:v>0.13460037386162699</c:v>
                </c:pt>
                <c:pt idx="3">
                  <c:v>0.133457625743262</c:v>
                </c:pt>
                <c:pt idx="4">
                  <c:v>0.13379913857126899</c:v>
                </c:pt>
                <c:pt idx="5">
                  <c:v>0.135112188890431</c:v>
                </c:pt>
                <c:pt idx="6">
                  <c:v>0.130316004197812</c:v>
                </c:pt>
                <c:pt idx="7">
                  <c:v>0.13498234565869699</c:v>
                </c:pt>
                <c:pt idx="8">
                  <c:v>0.13854180631109</c:v>
                </c:pt>
                <c:pt idx="9">
                  <c:v>0.13743837454275501</c:v>
                </c:pt>
                <c:pt idx="10">
                  <c:v>0.13738267695902801</c:v>
                </c:pt>
                <c:pt idx="11">
                  <c:v>0.14159428045373601</c:v>
                </c:pt>
                <c:pt idx="12">
                  <c:v>0.14232784705226301</c:v>
                </c:pt>
                <c:pt idx="13">
                  <c:v>0.14391242117178599</c:v>
                </c:pt>
                <c:pt idx="14">
                  <c:v>0.13920272125085101</c:v>
                </c:pt>
                <c:pt idx="15">
                  <c:v>0.14459533841685501</c:v>
                </c:pt>
                <c:pt idx="16">
                  <c:v>0.13915991329959099</c:v>
                </c:pt>
                <c:pt idx="17">
                  <c:v>0.144975058104169</c:v>
                </c:pt>
                <c:pt idx="18">
                  <c:v>0.14496624110967199</c:v>
                </c:pt>
                <c:pt idx="19">
                  <c:v>0.14341121488491801</c:v>
                </c:pt>
                <c:pt idx="20">
                  <c:v>0.14388771373763901</c:v>
                </c:pt>
                <c:pt idx="21">
                  <c:v>0.14091026017191899</c:v>
                </c:pt>
                <c:pt idx="22">
                  <c:v>0.13928443937518301</c:v>
                </c:pt>
                <c:pt idx="23">
                  <c:v>0.14449758570660601</c:v>
                </c:pt>
                <c:pt idx="24">
                  <c:v>0.14272080636913501</c:v>
                </c:pt>
                <c:pt idx="25">
                  <c:v>0.14380448214622399</c:v>
                </c:pt>
                <c:pt idx="26">
                  <c:v>0.13910873933717599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Together'!$B$34:$B$65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Together'!$C$34:$C$65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Together'!$B$66:$B$81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Together'!$C$66:$C$81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Together'!$B$82:$B$117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Together'!$C$82:$C$117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Together'!$B$118:$B$148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Together'!$C$118:$C$148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Together'!$B$149:$B$171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Together'!$C$149:$C$171</c:f>
              <c:numCache>
                <c:formatCode>General</c:formatCode>
                <c:ptCount val="23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Together'!$B$172:$B$190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Together'!$C$172:$C$190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Together'!$B$191:$B$205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Together'!$C$191:$C$205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10"/>
          <c:order val="9"/>
          <c:tx>
            <c:v>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Together'!$B$214:$B$241</c:f>
              <c:numCache>
                <c:formatCode>General</c:formatCode>
                <c:ptCount val="28"/>
                <c:pt idx="0">
                  <c:v>13.2697393001639</c:v>
                </c:pt>
                <c:pt idx="1">
                  <c:v>13.085484930856</c:v>
                </c:pt>
                <c:pt idx="2">
                  <c:v>13.175945695541801</c:v>
                </c:pt>
                <c:pt idx="3">
                  <c:v>12.932688227182499</c:v>
                </c:pt>
                <c:pt idx="4">
                  <c:v>12.983441137506301</c:v>
                </c:pt>
                <c:pt idx="5">
                  <c:v>13.0765465639323</c:v>
                </c:pt>
                <c:pt idx="6">
                  <c:v>13.1139776982864</c:v>
                </c:pt>
                <c:pt idx="7">
                  <c:v>13.148082507003</c:v>
                </c:pt>
                <c:pt idx="8">
                  <c:v>12.9457941612001</c:v>
                </c:pt>
                <c:pt idx="9">
                  <c:v>13.0137021255065</c:v>
                </c:pt>
                <c:pt idx="10">
                  <c:v>13.1418022843663</c:v>
                </c:pt>
                <c:pt idx="11">
                  <c:v>13.1707068509</c:v>
                </c:pt>
                <c:pt idx="12">
                  <c:v>13.2066468551924</c:v>
                </c:pt>
                <c:pt idx="13">
                  <c:v>13.158519557395699</c:v>
                </c:pt>
                <c:pt idx="14">
                  <c:v>13.101689684028599</c:v>
                </c:pt>
                <c:pt idx="15">
                  <c:v>13.214174220163899</c:v>
                </c:pt>
                <c:pt idx="16">
                  <c:v>13.1096701956908</c:v>
                </c:pt>
                <c:pt idx="17">
                  <c:v>13.073395646730701</c:v>
                </c:pt>
                <c:pt idx="18">
                  <c:v>13.312833843466599</c:v>
                </c:pt>
                <c:pt idx="19">
                  <c:v>13.124987483828299</c:v>
                </c:pt>
                <c:pt idx="20">
                  <c:v>12.978247315348099</c:v>
                </c:pt>
                <c:pt idx="21">
                  <c:v>13.0256010563036</c:v>
                </c:pt>
                <c:pt idx="22">
                  <c:v>12.962310430945999</c:v>
                </c:pt>
                <c:pt idx="23">
                  <c:v>13.003649574191501</c:v>
                </c:pt>
                <c:pt idx="24">
                  <c:v>13.0669427926527</c:v>
                </c:pt>
                <c:pt idx="25">
                  <c:v>13.118146624426201</c:v>
                </c:pt>
                <c:pt idx="26">
                  <c:v>13.061519052065201</c:v>
                </c:pt>
                <c:pt idx="27">
                  <c:v>13.0135879028039</c:v>
                </c:pt>
              </c:numCache>
            </c:numRef>
          </c:xVal>
          <c:yVal>
            <c:numRef>
              <c:f>'All Together'!$C$214:$C$241</c:f>
              <c:numCache>
                <c:formatCode>General</c:formatCode>
                <c:ptCount val="28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14-4BA4-8B3A-81F1BB206F69}"/>
            </c:ext>
          </c:extLst>
        </c:ser>
        <c:ser>
          <c:idx val="11"/>
          <c:order val="10"/>
          <c:tx>
            <c:v>2-Jul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Together'!$B$242:$B$266</c:f>
              <c:numCache>
                <c:formatCode>General</c:formatCode>
                <c:ptCount val="25"/>
                <c:pt idx="0">
                  <c:v>14.610387851091801</c:v>
                </c:pt>
                <c:pt idx="1">
                  <c:v>14.824645793302301</c:v>
                </c:pt>
                <c:pt idx="2">
                  <c:v>14.4528707103913</c:v>
                </c:pt>
                <c:pt idx="3">
                  <c:v>14.6109532885724</c:v>
                </c:pt>
                <c:pt idx="4">
                  <c:v>14.525535608882601</c:v>
                </c:pt>
                <c:pt idx="5">
                  <c:v>14.703570164436799</c:v>
                </c:pt>
                <c:pt idx="6">
                  <c:v>14.6469605754983</c:v>
                </c:pt>
                <c:pt idx="7">
                  <c:v>14.4430203101595</c:v>
                </c:pt>
                <c:pt idx="8">
                  <c:v>14.549598435905899</c:v>
                </c:pt>
                <c:pt idx="9">
                  <c:v>14.7043335718615</c:v>
                </c:pt>
                <c:pt idx="10">
                  <c:v>14.770828981153199</c:v>
                </c:pt>
                <c:pt idx="11">
                  <c:v>14.7903674498711</c:v>
                </c:pt>
                <c:pt idx="12">
                  <c:v>14.6129136258226</c:v>
                </c:pt>
                <c:pt idx="13">
                  <c:v>14.5285253520751</c:v>
                </c:pt>
                <c:pt idx="14">
                  <c:v>14.4495865267067</c:v>
                </c:pt>
                <c:pt idx="15">
                  <c:v>14.524765784844201</c:v>
                </c:pt>
                <c:pt idx="16">
                  <c:v>14.764112552014099</c:v>
                </c:pt>
                <c:pt idx="17">
                  <c:v>14.7106184874969</c:v>
                </c:pt>
                <c:pt idx="18">
                  <c:v>14.749177714501</c:v>
                </c:pt>
                <c:pt idx="19">
                  <c:v>14.6684970880551</c:v>
                </c:pt>
                <c:pt idx="20">
                  <c:v>14.5764121579489</c:v>
                </c:pt>
                <c:pt idx="21">
                  <c:v>14.633716179029699</c:v>
                </c:pt>
                <c:pt idx="22">
                  <c:v>14.618198212113001</c:v>
                </c:pt>
                <c:pt idx="23">
                  <c:v>14.482642723981799</c:v>
                </c:pt>
                <c:pt idx="24">
                  <c:v>14.491750683935599</c:v>
                </c:pt>
              </c:numCache>
            </c:numRef>
          </c:xVal>
          <c:yVal>
            <c:numRef>
              <c:f>'All Together'!$C$242:$C$266</c:f>
              <c:numCache>
                <c:formatCode>General</c:formatCode>
                <c:ptCount val="25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14-4BA4-8B3A-81F1BB206F69}"/>
            </c:ext>
          </c:extLst>
        </c:ser>
        <c:ser>
          <c:idx val="12"/>
          <c:order val="11"/>
          <c:tx>
            <c:v>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Together'!$B$267:$B$297</c:f>
              <c:numCache>
                <c:formatCode>General</c:formatCode>
                <c:ptCount val="31"/>
                <c:pt idx="0">
                  <c:v>17.825013007136501</c:v>
                </c:pt>
                <c:pt idx="1">
                  <c:v>17.9319730766783</c:v>
                </c:pt>
                <c:pt idx="2">
                  <c:v>18.039044650769</c:v>
                </c:pt>
                <c:pt idx="3">
                  <c:v>18.0604756933053</c:v>
                </c:pt>
                <c:pt idx="4">
                  <c:v>17.9979172106978</c:v>
                </c:pt>
                <c:pt idx="5">
                  <c:v>17.998827423434999</c:v>
                </c:pt>
                <c:pt idx="6">
                  <c:v>18.041509768701101</c:v>
                </c:pt>
                <c:pt idx="7">
                  <c:v>18.113057907959</c:v>
                </c:pt>
                <c:pt idx="8">
                  <c:v>18.000340035364701</c:v>
                </c:pt>
                <c:pt idx="9">
                  <c:v>18.056008326627001</c:v>
                </c:pt>
                <c:pt idx="10">
                  <c:v>18.143480906181601</c:v>
                </c:pt>
                <c:pt idx="11">
                  <c:v>18.0505063076521</c:v>
                </c:pt>
                <c:pt idx="12">
                  <c:v>17.975837914720699</c:v>
                </c:pt>
                <c:pt idx="13">
                  <c:v>17.958408612980101</c:v>
                </c:pt>
                <c:pt idx="14">
                  <c:v>18.089794941394199</c:v>
                </c:pt>
                <c:pt idx="15">
                  <c:v>18.011107051113001</c:v>
                </c:pt>
                <c:pt idx="16">
                  <c:v>18.059805482066999</c:v>
                </c:pt>
                <c:pt idx="17">
                  <c:v>17.9483749982906</c:v>
                </c:pt>
                <c:pt idx="18">
                  <c:v>17.986594818813899</c:v>
                </c:pt>
                <c:pt idx="19">
                  <c:v>18.0136321630971</c:v>
                </c:pt>
                <c:pt idx="20">
                  <c:v>18.175378572568899</c:v>
                </c:pt>
                <c:pt idx="21">
                  <c:v>18.118575471661899</c:v>
                </c:pt>
                <c:pt idx="22">
                  <c:v>17.929983986435602</c:v>
                </c:pt>
                <c:pt idx="23">
                  <c:v>18.106604307150199</c:v>
                </c:pt>
                <c:pt idx="24">
                  <c:v>17.996855885347902</c:v>
                </c:pt>
                <c:pt idx="25">
                  <c:v>18.121396667491499</c:v>
                </c:pt>
                <c:pt idx="26">
                  <c:v>18.094216738234799</c:v>
                </c:pt>
                <c:pt idx="27">
                  <c:v>18.1174045096291</c:v>
                </c:pt>
                <c:pt idx="28">
                  <c:v>17.975345051957699</c:v>
                </c:pt>
                <c:pt idx="29">
                  <c:v>18.0641154539816</c:v>
                </c:pt>
                <c:pt idx="30">
                  <c:v>18.268545430641002</c:v>
                </c:pt>
              </c:numCache>
            </c:numRef>
          </c:xVal>
          <c:yVal>
            <c:numRef>
              <c:f>'All Together'!$C$267:$C$297</c:f>
              <c:numCache>
                <c:formatCode>General</c:formatCode>
                <c:ptCount val="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4-4BA4-8B3A-81F1BB206F69}"/>
            </c:ext>
          </c:extLst>
        </c:ser>
        <c:ser>
          <c:idx val="9"/>
          <c:order val="12"/>
          <c:tx>
            <c:v>19-Jun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Together'!$B$206:$B$210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Together'!$C$206:$C$210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0C-4167-B4B8-8BD422FAC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10"/>
          <c:order val="9"/>
          <c:tx>
            <c:strRef>
              <c:f>'456'!$K$3</c:f>
              <c:strCache>
                <c:ptCount val="1"/>
                <c:pt idx="0">
                  <c:v>Jul01,2026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F7-473A-8DC9-7BDC51F8D435}"/>
            </c:ext>
          </c:extLst>
        </c:ser>
        <c:ser>
          <c:idx val="11"/>
          <c:order val="10"/>
          <c:tx>
            <c:strRef>
              <c:f>'456'!$L$3</c:f>
              <c:strCache>
                <c:ptCount val="1"/>
                <c:pt idx="0">
                  <c:v>Jul02,2026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'456'!$L$4:$L$39</c:f>
              <c:numCache>
                <c:formatCode>General</c:formatCode>
                <c:ptCount val="36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F7-473A-8DC9-7BDC51F8D435}"/>
            </c:ext>
          </c:extLst>
        </c:ser>
        <c:ser>
          <c:idx val="12"/>
          <c:order val="11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'456'!$M$4:$M$39</c:f>
              <c:numCache>
                <c:formatCode>General</c:formatCode>
                <c:ptCount val="36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F7-473A-8DC9-7BDC51F8D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'456'!$M$4:$M$234</c:f>
              <c:numCache>
                <c:formatCode>General</c:formatCode>
                <c:ptCount val="2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59906</xdr:colOff>
      <xdr:row>28</xdr:row>
      <xdr:rowOff>140777</xdr:rowOff>
    </xdr:from>
    <xdr:to>
      <xdr:col>28</xdr:col>
      <xdr:colOff>296774</xdr:colOff>
      <xdr:row>39</xdr:row>
      <xdr:rowOff>569100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467265</xdr:colOff>
      <xdr:row>8</xdr:row>
      <xdr:rowOff>44928</xdr:rowOff>
    </xdr:from>
    <xdr:to>
      <xdr:col>26</xdr:col>
      <xdr:colOff>152760</xdr:colOff>
      <xdr:row>25</xdr:row>
      <xdr:rowOff>284309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34</xdr:row>
      <xdr:rowOff>47626</xdr:rowOff>
    </xdr:from>
    <xdr:to>
      <xdr:col>26</xdr:col>
      <xdr:colOff>161925</xdr:colOff>
      <xdr:row>55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5</xdr:row>
      <xdr:rowOff>23812</xdr:rowOff>
    </xdr:from>
    <xdr:to>
      <xdr:col>25</xdr:col>
      <xdr:colOff>495300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</xdr:colOff>
      <xdr:row>22</xdr:row>
      <xdr:rowOff>66675</xdr:rowOff>
    </xdr:from>
    <xdr:to>
      <xdr:col>28</xdr:col>
      <xdr:colOff>209550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209550</xdr:colOff>
      <xdr:row>3</xdr:row>
      <xdr:rowOff>104775</xdr:rowOff>
    </xdr:from>
    <xdr:to>
      <xdr:col>25</xdr:col>
      <xdr:colOff>447675</xdr:colOff>
      <xdr:row>19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7"/>
  <sheetViews>
    <sheetView tabSelected="1" topLeftCell="A10" zoomScale="106" zoomScaleNormal="106" workbookViewId="0">
      <selection activeCell="E3" sqref="E3"/>
    </sheetView>
  </sheetViews>
  <sheetFormatPr defaultRowHeight="15" x14ac:dyDescent="0.25"/>
  <cols>
    <col min="6" max="6" width="16.140625" customWidth="1"/>
  </cols>
  <sheetData>
    <row r="1" spans="1:18" ht="30" x14ac:dyDescent="0.25">
      <c r="A1" s="1" t="s">
        <v>0</v>
      </c>
      <c r="B1" s="1" t="s">
        <v>27</v>
      </c>
      <c r="C1" s="1" t="s">
        <v>26</v>
      </c>
      <c r="J1" t="s">
        <v>219</v>
      </c>
      <c r="K1" t="s">
        <v>218</v>
      </c>
      <c r="R1" s="1"/>
    </row>
    <row r="2" spans="1:18" ht="45" x14ac:dyDescent="0.25">
      <c r="A2" s="1" t="s">
        <v>1</v>
      </c>
      <c r="B2" s="1">
        <v>8.5895120122534792</v>
      </c>
      <c r="C2" s="1">
        <v>0.14198189433295499</v>
      </c>
      <c r="E2">
        <f>COUNT(B:B)</f>
        <v>293</v>
      </c>
      <c r="I2" s="1" t="s">
        <v>206</v>
      </c>
      <c r="J2">
        <f>'894'!F1</f>
        <v>1.7518705397383913E-2</v>
      </c>
      <c r="K2">
        <f>'456'!F1</f>
        <v>4.2703475132141157E-4</v>
      </c>
    </row>
    <row r="3" spans="1:18" ht="45" x14ac:dyDescent="0.25">
      <c r="A3" s="1" t="s">
        <v>2</v>
      </c>
      <c r="B3" s="1">
        <v>8.6524212475503699</v>
      </c>
      <c r="C3" s="1">
        <v>0.14200693706074399</v>
      </c>
      <c r="I3" s="1" t="s">
        <v>205</v>
      </c>
      <c r="J3">
        <f>'894'!F2</f>
        <v>0.12581532383025565</v>
      </c>
      <c r="K3">
        <f>'456'!F2</f>
        <v>0.18809412531311234</v>
      </c>
    </row>
    <row r="4" spans="1:18" ht="45" x14ac:dyDescent="0.25">
      <c r="A4" s="1" t="s">
        <v>3</v>
      </c>
      <c r="B4" s="1">
        <v>8.2927304597387206</v>
      </c>
      <c r="C4" s="1">
        <v>0.13879302222888601</v>
      </c>
      <c r="I4" s="1"/>
    </row>
    <row r="5" spans="1:18" ht="45" x14ac:dyDescent="0.25">
      <c r="A5" s="1" t="s">
        <v>4</v>
      </c>
      <c r="B5" s="1">
        <v>8.4368095561837997</v>
      </c>
      <c r="C5" s="1">
        <v>0.14134057599559999</v>
      </c>
      <c r="I5" s="1" t="s">
        <v>211</v>
      </c>
      <c r="J5">
        <f>'894'!F4</f>
        <v>13.881207281537201</v>
      </c>
      <c r="K5">
        <f>'456'!F4</f>
        <v>0.22378459935658199</v>
      </c>
    </row>
    <row r="6" spans="1:18" ht="45" x14ac:dyDescent="0.25">
      <c r="A6" s="1" t="s">
        <v>5</v>
      </c>
      <c r="B6" s="1">
        <v>8.6554109919161206</v>
      </c>
      <c r="C6" s="1">
        <v>0.14287369952523299</v>
      </c>
      <c r="I6" s="1" t="s">
        <v>212</v>
      </c>
      <c r="J6">
        <f>'894'!F5</f>
        <v>14.0895904209866</v>
      </c>
      <c r="K6">
        <f>'456'!F5</f>
        <v>0.228434718604688</v>
      </c>
    </row>
    <row r="7" spans="1:18" ht="45" x14ac:dyDescent="0.25">
      <c r="A7" s="1" t="s">
        <v>23</v>
      </c>
      <c r="B7" s="1">
        <v>8.2237273067390202</v>
      </c>
      <c r="C7" s="1">
        <v>0.13688104388401501</v>
      </c>
      <c r="I7" s="1" t="s">
        <v>213</v>
      </c>
      <c r="J7">
        <f>'894'!F6</f>
        <v>13.781524940490501</v>
      </c>
      <c r="K7">
        <f>'456'!F6</f>
        <v>0.221372998488612</v>
      </c>
    </row>
    <row r="8" spans="1:18" ht="45" x14ac:dyDescent="0.25">
      <c r="A8" s="1" t="s">
        <v>24</v>
      </c>
      <c r="B8" s="1">
        <v>8.26640584418465</v>
      </c>
      <c r="C8" s="1">
        <v>0.135835488526413</v>
      </c>
      <c r="I8" s="1" t="s">
        <v>214</v>
      </c>
      <c r="J8">
        <f>'894'!F7</f>
        <v>13.849983967959</v>
      </c>
      <c r="K8">
        <f>'456'!F7</f>
        <v>0.225975457594905</v>
      </c>
    </row>
    <row r="9" spans="1:18" ht="45" x14ac:dyDescent="0.25">
      <c r="A9" s="1" t="s">
        <v>25</v>
      </c>
      <c r="B9" s="1">
        <v>8.2614937671479094</v>
      </c>
      <c r="C9" s="1">
        <v>0.13460037386162699</v>
      </c>
      <c r="I9" s="1" t="s">
        <v>215</v>
      </c>
      <c r="J9">
        <f>'894'!F8</f>
        <v>14.1045893865774</v>
      </c>
      <c r="K9">
        <f>'456'!F8</f>
        <v>0.225216837741747</v>
      </c>
    </row>
    <row r="10" spans="1:18" ht="45" x14ac:dyDescent="0.25">
      <c r="A10" s="1" t="s">
        <v>309</v>
      </c>
      <c r="B10" s="1">
        <v>8.1948628050432095</v>
      </c>
      <c r="C10" s="1">
        <v>0.133457625743262</v>
      </c>
      <c r="I10" s="1" t="s">
        <v>216</v>
      </c>
      <c r="J10">
        <f>'894'!F9</f>
        <v>14.045243904631301</v>
      </c>
      <c r="K10">
        <f>'456'!F9</f>
        <v>0.229746279532067</v>
      </c>
    </row>
    <row r="11" spans="1:18" ht="45" x14ac:dyDescent="0.25">
      <c r="A11" s="1" t="s">
        <v>310</v>
      </c>
      <c r="B11" s="1">
        <v>8.1304154901890406</v>
      </c>
      <c r="C11" s="1">
        <v>0.13379913857126899</v>
      </c>
      <c r="I11" s="1" t="s">
        <v>217</v>
      </c>
      <c r="J11">
        <f>'894'!F10</f>
        <v>14.041948410297801</v>
      </c>
      <c r="K11">
        <f>'456'!F10</f>
        <v>0.22722518963626401</v>
      </c>
    </row>
    <row r="12" spans="1:18" ht="45" x14ac:dyDescent="0.25">
      <c r="A12" s="1" t="s">
        <v>7</v>
      </c>
      <c r="B12" s="1">
        <v>8.2121360213246692</v>
      </c>
      <c r="C12" s="1">
        <v>0.135112188890431</v>
      </c>
      <c r="I12" s="1" t="s">
        <v>273</v>
      </c>
      <c r="J12">
        <f>'894'!F11</f>
        <v>13.9314720937797</v>
      </c>
      <c r="K12">
        <f>'456'!F11</f>
        <v>0.222965184868961</v>
      </c>
    </row>
    <row r="13" spans="1:18" ht="45" x14ac:dyDescent="0.25">
      <c r="A13" s="1" t="s">
        <v>311</v>
      </c>
      <c r="B13" s="1">
        <v>8.2898703177931896</v>
      </c>
      <c r="C13" s="1">
        <v>0.130316004197812</v>
      </c>
      <c r="I13" s="1" t="s">
        <v>275</v>
      </c>
      <c r="J13">
        <f>'894'!F12</f>
        <v>13.939302031872</v>
      </c>
      <c r="K13">
        <f>'456'!F12</f>
        <v>0.22898718060617901</v>
      </c>
    </row>
    <row r="14" spans="1:18" ht="45" x14ac:dyDescent="0.25">
      <c r="A14" s="1" t="s">
        <v>8</v>
      </c>
      <c r="B14" s="1">
        <v>8.3727208112640206</v>
      </c>
      <c r="C14" s="1">
        <v>0.13498234565869699</v>
      </c>
    </row>
    <row r="15" spans="1:18" ht="45" x14ac:dyDescent="0.25">
      <c r="A15" s="1" t="s">
        <v>9</v>
      </c>
      <c r="B15" s="1">
        <v>8.4364141305933895</v>
      </c>
      <c r="C15" s="1">
        <v>0.13854180631109</v>
      </c>
    </row>
    <row r="16" spans="1:18" ht="45" x14ac:dyDescent="0.25">
      <c r="A16" s="1" t="s">
        <v>10</v>
      </c>
      <c r="B16" s="1">
        <v>8.4084015562695207</v>
      </c>
      <c r="C16" s="1">
        <v>0.13743837454275501</v>
      </c>
    </row>
    <row r="17" spans="1:3" ht="45" x14ac:dyDescent="0.25">
      <c r="A17" s="1" t="s">
        <v>11</v>
      </c>
      <c r="B17" s="1">
        <v>8.5099572412062301</v>
      </c>
      <c r="C17" s="1">
        <v>0.13738267695902801</v>
      </c>
    </row>
    <row r="18" spans="1:3" ht="45" x14ac:dyDescent="0.25">
      <c r="A18" s="1" t="s">
        <v>12</v>
      </c>
      <c r="B18" s="1">
        <v>8.4321434520724008</v>
      </c>
      <c r="C18" s="1">
        <v>0.14159428045373601</v>
      </c>
    </row>
    <row r="19" spans="1:3" ht="45" x14ac:dyDescent="0.25">
      <c r="A19" s="1" t="s">
        <v>6</v>
      </c>
      <c r="B19" s="1">
        <v>8.53551089338964</v>
      </c>
      <c r="C19" s="1">
        <v>0.14232784705226301</v>
      </c>
    </row>
    <row r="20" spans="1:3" ht="45" x14ac:dyDescent="0.25">
      <c r="A20" s="1" t="s">
        <v>13</v>
      </c>
      <c r="B20" s="1">
        <v>8.4721216638779193</v>
      </c>
      <c r="C20" s="1">
        <v>0.14391242117178599</v>
      </c>
    </row>
    <row r="21" spans="1:3" ht="45" x14ac:dyDescent="0.25">
      <c r="A21" s="1" t="s">
        <v>14</v>
      </c>
      <c r="B21" s="1">
        <v>8.4953666075608503</v>
      </c>
      <c r="C21" s="1">
        <v>0.13920272125085101</v>
      </c>
    </row>
    <row r="22" spans="1:3" ht="45" x14ac:dyDescent="0.25">
      <c r="A22" s="1" t="s">
        <v>15</v>
      </c>
      <c r="B22" s="1">
        <v>8.7711252103094601</v>
      </c>
      <c r="C22" s="1">
        <v>0.14459533841685501</v>
      </c>
    </row>
    <row r="23" spans="1:3" ht="45" x14ac:dyDescent="0.25">
      <c r="A23" s="1" t="s">
        <v>312</v>
      </c>
      <c r="B23" s="1">
        <v>8.5996727461700306</v>
      </c>
      <c r="C23" s="1">
        <v>0.13915991329959099</v>
      </c>
    </row>
    <row r="24" spans="1:3" ht="45" x14ac:dyDescent="0.25">
      <c r="A24" s="1" t="s">
        <v>16</v>
      </c>
      <c r="B24" s="1">
        <v>8.5801266895029205</v>
      </c>
      <c r="C24" s="1">
        <v>0.144975058104169</v>
      </c>
    </row>
    <row r="25" spans="1:3" ht="45" x14ac:dyDescent="0.25">
      <c r="A25" s="1" t="s">
        <v>17</v>
      </c>
      <c r="B25" s="1">
        <v>8.5783681642005494</v>
      </c>
      <c r="C25" s="1">
        <v>0.14496624110967199</v>
      </c>
    </row>
    <row r="26" spans="1:3" ht="45" x14ac:dyDescent="0.25">
      <c r="A26" s="1" t="s">
        <v>18</v>
      </c>
      <c r="B26" s="1">
        <v>8.6129268121772302</v>
      </c>
      <c r="C26" s="1">
        <v>0.14341121488491801</v>
      </c>
    </row>
    <row r="27" spans="1:3" ht="45" x14ac:dyDescent="0.25">
      <c r="A27" s="1" t="s">
        <v>19</v>
      </c>
      <c r="B27" s="1">
        <v>8.6349505815443095</v>
      </c>
      <c r="C27" s="1">
        <v>0.14388771373763901</v>
      </c>
    </row>
    <row r="28" spans="1:3" ht="45" x14ac:dyDescent="0.25">
      <c r="A28" s="1" t="s">
        <v>20</v>
      </c>
      <c r="B28" s="1">
        <v>8.5827352500219707</v>
      </c>
      <c r="C28" s="1">
        <v>0.14091026017191899</v>
      </c>
    </row>
    <row r="29" spans="1:3" ht="45" x14ac:dyDescent="0.25">
      <c r="A29" s="1" t="s">
        <v>313</v>
      </c>
      <c r="B29" s="1">
        <v>8.6033820921791602</v>
      </c>
      <c r="C29" s="1">
        <v>0.13928443937518301</v>
      </c>
    </row>
    <row r="30" spans="1:3" ht="45" x14ac:dyDescent="0.25">
      <c r="A30" s="1" t="s">
        <v>21</v>
      </c>
      <c r="B30" s="1">
        <v>8.6784045244654298</v>
      </c>
      <c r="C30" s="1">
        <v>0.14449758570660601</v>
      </c>
    </row>
    <row r="31" spans="1:3" ht="45" x14ac:dyDescent="0.25">
      <c r="A31" s="1" t="s">
        <v>314</v>
      </c>
      <c r="B31" s="1">
        <v>8.6432150051153496</v>
      </c>
      <c r="C31" s="1">
        <v>0.14272080636913501</v>
      </c>
    </row>
    <row r="32" spans="1:3" ht="45" x14ac:dyDescent="0.25">
      <c r="A32" s="1" t="s">
        <v>315</v>
      </c>
      <c r="B32" s="1">
        <v>8.4545546426380405</v>
      </c>
      <c r="C32" s="1">
        <v>0.14380448214622399</v>
      </c>
    </row>
    <row r="33" spans="1:3" ht="45" x14ac:dyDescent="0.25">
      <c r="A33" s="1" t="s">
        <v>22</v>
      </c>
      <c r="B33" s="1">
        <v>8.5889106546587897</v>
      </c>
      <c r="C33" s="1">
        <v>0.13910873933717599</v>
      </c>
    </row>
    <row r="34" spans="1:3" ht="45" x14ac:dyDescent="0.25">
      <c r="A34" s="1" t="s">
        <v>28</v>
      </c>
      <c r="B34" s="1">
        <v>7.0733851626533504</v>
      </c>
      <c r="C34" s="1">
        <v>0.117218052017694</v>
      </c>
    </row>
    <row r="35" spans="1:3" ht="45" x14ac:dyDescent="0.25">
      <c r="A35" s="1" t="s">
        <v>29</v>
      </c>
      <c r="B35" s="1">
        <v>7.0645821415754702</v>
      </c>
      <c r="C35" s="1">
        <v>0.116738218899043</v>
      </c>
    </row>
    <row r="36" spans="1:3" ht="45" x14ac:dyDescent="0.25">
      <c r="A36" s="1" t="s">
        <v>30</v>
      </c>
      <c r="B36" s="1">
        <v>7.0594232243202404</v>
      </c>
      <c r="C36" s="1">
        <v>0.116641895814922</v>
      </c>
    </row>
    <row r="37" spans="1:3" ht="45" x14ac:dyDescent="0.25">
      <c r="A37" s="1" t="s">
        <v>31</v>
      </c>
      <c r="B37" s="1">
        <v>7.0595369414161802</v>
      </c>
      <c r="C37" s="1">
        <v>0.117986722306339</v>
      </c>
    </row>
    <row r="38" spans="1:3" ht="45" x14ac:dyDescent="0.25">
      <c r="A38" s="1" t="s">
        <v>32</v>
      </c>
      <c r="B38" s="1">
        <v>7.1355028757261403</v>
      </c>
      <c r="C38" s="1">
        <v>0.116363944216263</v>
      </c>
    </row>
    <row r="39" spans="1:3" ht="45" x14ac:dyDescent="0.25">
      <c r="A39" s="1" t="s">
        <v>33</v>
      </c>
      <c r="B39" s="1">
        <v>7.1742988315936698</v>
      </c>
      <c r="C39" s="1">
        <v>0.117960737624138</v>
      </c>
    </row>
    <row r="40" spans="1:3" ht="45" x14ac:dyDescent="0.25">
      <c r="A40" s="1" t="s">
        <v>34</v>
      </c>
      <c r="B40" s="1">
        <v>7.2143004246012596</v>
      </c>
      <c r="C40" s="1">
        <v>0.11777189549636199</v>
      </c>
    </row>
    <row r="41" spans="1:3" ht="45" x14ac:dyDescent="0.25">
      <c r="A41" s="1" t="s">
        <v>35</v>
      </c>
      <c r="B41" s="1">
        <v>7.1896716464449897</v>
      </c>
      <c r="C41" s="1">
        <v>0.118362346500101</v>
      </c>
    </row>
    <row r="42" spans="1:3" ht="45" x14ac:dyDescent="0.25">
      <c r="A42" s="1" t="s">
        <v>36</v>
      </c>
      <c r="B42" s="1">
        <v>7.0740088746791701</v>
      </c>
      <c r="C42" s="1">
        <v>0.11875028071223</v>
      </c>
    </row>
    <row r="43" spans="1:3" ht="45" x14ac:dyDescent="0.25">
      <c r="A43" s="1" t="s">
        <v>37</v>
      </c>
      <c r="B43" s="1">
        <v>7.1243444840245997</v>
      </c>
      <c r="C43" s="1">
        <v>0.118209453954305</v>
      </c>
    </row>
    <row r="44" spans="1:3" ht="45" x14ac:dyDescent="0.25">
      <c r="A44" s="1" t="s">
        <v>38</v>
      </c>
      <c r="B44" s="1">
        <v>7.0585349758452001</v>
      </c>
      <c r="C44" s="1">
        <v>0.116577694816434</v>
      </c>
    </row>
    <row r="45" spans="1:3" ht="45" x14ac:dyDescent="0.25">
      <c r="A45" s="1" t="s">
        <v>39</v>
      </c>
      <c r="B45" s="1">
        <v>7.0753396553470003</v>
      </c>
      <c r="C45" s="1">
        <v>0.117670638852321</v>
      </c>
    </row>
    <row r="46" spans="1:3" ht="45" x14ac:dyDescent="0.25">
      <c r="A46" s="1" t="s">
        <v>40</v>
      </c>
      <c r="B46" s="1">
        <v>7.0929763944296802</v>
      </c>
      <c r="C46" s="1">
        <v>0.118098845799444</v>
      </c>
    </row>
    <row r="47" spans="1:3" ht="45" x14ac:dyDescent="0.25">
      <c r="A47" s="1" t="s">
        <v>41</v>
      </c>
      <c r="B47" s="1">
        <v>7.1058506533772503</v>
      </c>
      <c r="C47" s="1">
        <v>0.11655919684067299</v>
      </c>
    </row>
    <row r="48" spans="1:3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x14ac:dyDescent="0.25">
      <c r="B211" s="1"/>
      <c r="C211" s="1"/>
    </row>
    <row r="212" spans="1:3" x14ac:dyDescent="0.25">
      <c r="B212" s="1"/>
      <c r="C212" s="1"/>
    </row>
    <row r="213" spans="1:3" x14ac:dyDescent="0.25">
      <c r="B213" s="1"/>
      <c r="C213" s="1"/>
    </row>
    <row r="214" spans="1:3" ht="45" x14ac:dyDescent="0.25">
      <c r="A214" s="1" t="s">
        <v>245</v>
      </c>
      <c r="B214" s="1">
        <v>13.2697393001639</v>
      </c>
      <c r="C214" s="1">
        <v>0.21689563024651701</v>
      </c>
    </row>
    <row r="215" spans="1:3" ht="45" x14ac:dyDescent="0.25">
      <c r="A215" s="1" t="s">
        <v>246</v>
      </c>
      <c r="B215" s="1">
        <v>13.085484930856</v>
      </c>
      <c r="C215" s="1">
        <v>0.21250705902688999</v>
      </c>
    </row>
    <row r="216" spans="1:3" ht="45" x14ac:dyDescent="0.25">
      <c r="A216" s="1" t="s">
        <v>247</v>
      </c>
      <c r="B216" s="1">
        <v>13.175945695541801</v>
      </c>
      <c r="C216" s="1">
        <v>0.21268324019514501</v>
      </c>
    </row>
    <row r="217" spans="1:3" ht="45" x14ac:dyDescent="0.25">
      <c r="A217" s="1" t="s">
        <v>248</v>
      </c>
      <c r="B217" s="1">
        <v>12.932688227182499</v>
      </c>
      <c r="C217" s="1">
        <v>0.21049345542616399</v>
      </c>
    </row>
    <row r="218" spans="1:3" ht="45" x14ac:dyDescent="0.25">
      <c r="A218" s="1" t="s">
        <v>249</v>
      </c>
      <c r="B218" s="1">
        <v>12.983441137506301</v>
      </c>
      <c r="C218" s="1">
        <v>0.214431740824571</v>
      </c>
    </row>
    <row r="219" spans="1:3" ht="45" x14ac:dyDescent="0.25">
      <c r="A219" s="1" t="s">
        <v>250</v>
      </c>
      <c r="B219" s="1">
        <v>13.0765465639323</v>
      </c>
      <c r="C219" s="1">
        <v>0.21026943516751501</v>
      </c>
    </row>
    <row r="220" spans="1:3" ht="45" x14ac:dyDescent="0.25">
      <c r="A220" s="1" t="s">
        <v>251</v>
      </c>
      <c r="B220" s="1">
        <v>13.1139776982864</v>
      </c>
      <c r="C220" s="1">
        <v>0.211983108185162</v>
      </c>
    </row>
    <row r="221" spans="1:3" ht="45" x14ac:dyDescent="0.25">
      <c r="A221" s="1" t="s">
        <v>252</v>
      </c>
      <c r="B221" s="1">
        <v>13.148082507003</v>
      </c>
      <c r="C221" s="1">
        <v>0.212540414406241</v>
      </c>
    </row>
    <row r="222" spans="1:3" ht="45" x14ac:dyDescent="0.25">
      <c r="A222" s="1" t="s">
        <v>253</v>
      </c>
      <c r="B222" s="1">
        <v>12.9457941612001</v>
      </c>
      <c r="C222" s="1">
        <v>0.21316933311979799</v>
      </c>
    </row>
    <row r="223" spans="1:3" ht="45" x14ac:dyDescent="0.25">
      <c r="A223" s="1" t="s">
        <v>254</v>
      </c>
      <c r="B223" s="1">
        <v>13.0137021255065</v>
      </c>
      <c r="C223" s="1">
        <v>0.212515123863107</v>
      </c>
    </row>
    <row r="224" spans="1:3" ht="45" x14ac:dyDescent="0.25">
      <c r="A224" s="1" t="s">
        <v>255</v>
      </c>
      <c r="B224" s="1">
        <v>13.1418022843663</v>
      </c>
      <c r="C224" s="1">
        <v>0.21030240285409901</v>
      </c>
    </row>
    <row r="225" spans="1:3" ht="45" x14ac:dyDescent="0.25">
      <c r="A225" s="1" t="s">
        <v>256</v>
      </c>
      <c r="B225" s="1">
        <v>13.1707068509</v>
      </c>
      <c r="C225" s="1">
        <v>0.213000429148374</v>
      </c>
    </row>
    <row r="226" spans="1:3" ht="45" x14ac:dyDescent="0.25">
      <c r="A226" s="1" t="s">
        <v>257</v>
      </c>
      <c r="B226" s="1">
        <v>13.2066468551924</v>
      </c>
      <c r="C226" s="1">
        <v>0.21204120218539499</v>
      </c>
    </row>
    <row r="227" spans="1:3" ht="45" x14ac:dyDescent="0.25">
      <c r="A227" s="1" t="s">
        <v>258</v>
      </c>
      <c r="B227" s="1">
        <v>13.158519557395699</v>
      </c>
      <c r="C227" s="1">
        <v>0.211005527878392</v>
      </c>
    </row>
    <row r="228" spans="1:3" ht="45" x14ac:dyDescent="0.25">
      <c r="A228" s="1" t="s">
        <v>259</v>
      </c>
      <c r="B228" s="1">
        <v>13.101689684028599</v>
      </c>
      <c r="C228" s="1">
        <v>0.21490935202097999</v>
      </c>
    </row>
    <row r="229" spans="1:3" ht="45" x14ac:dyDescent="0.25">
      <c r="A229" s="1" t="s">
        <v>260</v>
      </c>
      <c r="B229" s="1">
        <v>13.214174220163899</v>
      </c>
      <c r="C229" s="1">
        <v>0.214705500945685</v>
      </c>
    </row>
    <row r="230" spans="1:3" ht="45" x14ac:dyDescent="0.25">
      <c r="A230" s="1" t="s">
        <v>261</v>
      </c>
      <c r="B230" s="1">
        <v>13.1096701956908</v>
      </c>
      <c r="C230" s="1">
        <v>0.21046954774395399</v>
      </c>
    </row>
    <row r="231" spans="1:3" ht="45" x14ac:dyDescent="0.25">
      <c r="A231" s="1" t="s">
        <v>262</v>
      </c>
      <c r="B231" s="1">
        <v>13.073395646730701</v>
      </c>
      <c r="C231" s="1">
        <v>0.212979730482002</v>
      </c>
    </row>
    <row r="232" spans="1:3" ht="45" x14ac:dyDescent="0.25">
      <c r="A232" s="1" t="s">
        <v>263</v>
      </c>
      <c r="B232" s="1">
        <v>13.312833843466599</v>
      </c>
      <c r="C232" s="1">
        <v>0.21145441547031901</v>
      </c>
    </row>
    <row r="233" spans="1:3" ht="45" x14ac:dyDescent="0.25">
      <c r="A233" s="1" t="s">
        <v>264</v>
      </c>
      <c r="B233" s="1">
        <v>13.124987483828299</v>
      </c>
      <c r="C233" s="1">
        <v>0.21334229216903</v>
      </c>
    </row>
    <row r="234" spans="1:3" ht="45" x14ac:dyDescent="0.25">
      <c r="A234" s="1" t="s">
        <v>265</v>
      </c>
      <c r="B234" s="1">
        <v>12.978247315348099</v>
      </c>
      <c r="C234" s="1">
        <v>0.21313225436689001</v>
      </c>
    </row>
    <row r="235" spans="1:3" ht="45" x14ac:dyDescent="0.25">
      <c r="A235" s="1" t="s">
        <v>266</v>
      </c>
      <c r="B235" s="1">
        <v>13.0256010563036</v>
      </c>
      <c r="C235" s="1">
        <v>0.21364986681269199</v>
      </c>
    </row>
    <row r="236" spans="1:3" ht="45" x14ac:dyDescent="0.25">
      <c r="A236" s="1" t="s">
        <v>267</v>
      </c>
      <c r="B236" s="1">
        <v>12.962310430945999</v>
      </c>
      <c r="C236" s="1">
        <v>0.21046298569896901</v>
      </c>
    </row>
    <row r="237" spans="1:3" ht="45" x14ac:dyDescent="0.25">
      <c r="A237" s="1" t="s">
        <v>268</v>
      </c>
      <c r="B237" s="1">
        <v>13.003649574191501</v>
      </c>
      <c r="C237" s="1">
        <v>0.21370475343700501</v>
      </c>
    </row>
    <row r="238" spans="1:3" ht="45" x14ac:dyDescent="0.25">
      <c r="A238" s="1" t="s">
        <v>269</v>
      </c>
      <c r="B238" s="1">
        <v>13.0669427926527</v>
      </c>
      <c r="C238" s="1">
        <v>0.213427613164866</v>
      </c>
    </row>
    <row r="239" spans="1:3" ht="45" x14ac:dyDescent="0.25">
      <c r="A239" s="1" t="s">
        <v>270</v>
      </c>
      <c r="B239" s="1">
        <v>13.118146624426201</v>
      </c>
      <c r="C239" s="1">
        <v>0.21285885222227299</v>
      </c>
    </row>
    <row r="240" spans="1:3" ht="45" x14ac:dyDescent="0.25">
      <c r="A240" s="1" t="s">
        <v>271</v>
      </c>
      <c r="B240" s="1">
        <v>13.061519052065201</v>
      </c>
      <c r="C240" s="1">
        <v>0.21229610722325801</v>
      </c>
    </row>
    <row r="241" spans="1:3" ht="45" x14ac:dyDescent="0.25">
      <c r="A241" s="1" t="s">
        <v>272</v>
      </c>
      <c r="B241" s="1">
        <v>13.0135879028039</v>
      </c>
      <c r="C241" s="1">
        <v>0.213479995323273</v>
      </c>
    </row>
    <row r="242" spans="1:3" ht="45" x14ac:dyDescent="0.25">
      <c r="A242" s="1" t="s">
        <v>244</v>
      </c>
      <c r="B242" s="1">
        <v>14.610387851091801</v>
      </c>
      <c r="C242" s="1">
        <v>0.23747635372092801</v>
      </c>
    </row>
    <row r="243" spans="1:3" ht="45" x14ac:dyDescent="0.25">
      <c r="A243" s="1" t="s">
        <v>220</v>
      </c>
      <c r="B243" s="1">
        <v>14.824645793302301</v>
      </c>
      <c r="C243" s="1">
        <v>0.24180291421483799</v>
      </c>
    </row>
    <row r="244" spans="1:3" ht="45" x14ac:dyDescent="0.25">
      <c r="A244" s="1" t="s">
        <v>221</v>
      </c>
      <c r="B244" s="1">
        <v>14.4528707103913</v>
      </c>
      <c r="C244" s="1">
        <v>0.23775144209915899</v>
      </c>
    </row>
    <row r="245" spans="1:3" ht="45" x14ac:dyDescent="0.25">
      <c r="A245" s="1" t="s">
        <v>222</v>
      </c>
      <c r="B245" s="1">
        <v>14.6109532885724</v>
      </c>
      <c r="C245" s="1">
        <v>0.24065215342237201</v>
      </c>
    </row>
    <row r="246" spans="1:3" ht="45" x14ac:dyDescent="0.25">
      <c r="A246" s="1" t="s">
        <v>223</v>
      </c>
      <c r="B246" s="1">
        <v>14.525535608882601</v>
      </c>
      <c r="C246" s="1">
        <v>0.238634580986853</v>
      </c>
    </row>
    <row r="247" spans="1:3" ht="45" x14ac:dyDescent="0.25">
      <c r="A247" s="1" t="s">
        <v>224</v>
      </c>
      <c r="B247" s="1">
        <v>14.703570164436799</v>
      </c>
      <c r="C247" s="1">
        <v>0.24123516367901099</v>
      </c>
    </row>
    <row r="248" spans="1:3" ht="45" x14ac:dyDescent="0.25">
      <c r="A248" s="1" t="s">
        <v>225</v>
      </c>
      <c r="B248" s="1">
        <v>14.6469605754983</v>
      </c>
      <c r="C248" s="1">
        <v>0.23838761262462899</v>
      </c>
    </row>
    <row r="249" spans="1:3" ht="45" x14ac:dyDescent="0.25">
      <c r="A249" s="1" t="s">
        <v>226</v>
      </c>
      <c r="B249" s="1">
        <v>14.4430203101595</v>
      </c>
      <c r="C249" s="1">
        <v>0.23787175668006799</v>
      </c>
    </row>
    <row r="250" spans="1:3" ht="45" x14ac:dyDescent="0.25">
      <c r="A250" s="1" t="s">
        <v>227</v>
      </c>
      <c r="B250" s="1">
        <v>14.549598435905899</v>
      </c>
      <c r="C250" s="1">
        <v>0.235957408677299</v>
      </c>
    </row>
    <row r="251" spans="1:3" ht="45" x14ac:dyDescent="0.25">
      <c r="A251" s="1" t="s">
        <v>228</v>
      </c>
      <c r="B251" s="1">
        <v>14.7043335718615</v>
      </c>
      <c r="C251" s="1">
        <v>0.23761103430247099</v>
      </c>
    </row>
    <row r="252" spans="1:3" ht="45" x14ac:dyDescent="0.25">
      <c r="A252" s="1" t="s">
        <v>229</v>
      </c>
      <c r="B252" s="1">
        <v>14.770828981153199</v>
      </c>
      <c r="C252" s="1">
        <v>0.24049928819975</v>
      </c>
    </row>
    <row r="253" spans="1:3" ht="45" x14ac:dyDescent="0.25">
      <c r="A253" s="1" t="s">
        <v>230</v>
      </c>
      <c r="B253" s="1">
        <v>14.7903674498711</v>
      </c>
      <c r="C253" s="1">
        <v>0.23875237313230799</v>
      </c>
    </row>
    <row r="254" spans="1:3" ht="45" x14ac:dyDescent="0.25">
      <c r="A254" s="1" t="s">
        <v>231</v>
      </c>
      <c r="B254" s="1">
        <v>14.6129136258226</v>
      </c>
      <c r="C254" s="1">
        <v>0.23577509684512599</v>
      </c>
    </row>
    <row r="255" spans="1:3" ht="45" x14ac:dyDescent="0.25">
      <c r="A255" s="1" t="s">
        <v>232</v>
      </c>
      <c r="B255" s="1">
        <v>14.5285253520751</v>
      </c>
      <c r="C255" s="1">
        <v>0.23798590162913699</v>
      </c>
    </row>
    <row r="256" spans="1:3" ht="45" x14ac:dyDescent="0.25">
      <c r="A256" s="1" t="s">
        <v>233</v>
      </c>
      <c r="B256" s="1">
        <v>14.4495865267067</v>
      </c>
      <c r="C256" s="1">
        <v>0.23776270729380899</v>
      </c>
    </row>
    <row r="257" spans="1:3" ht="45" x14ac:dyDescent="0.25">
      <c r="A257" s="1" t="s">
        <v>234</v>
      </c>
      <c r="B257" s="1">
        <v>14.524765784844201</v>
      </c>
      <c r="C257" s="1">
        <v>0.23525871098023601</v>
      </c>
    </row>
    <row r="258" spans="1:3" ht="45" x14ac:dyDescent="0.25">
      <c r="A258" s="1" t="s">
        <v>235</v>
      </c>
      <c r="B258" s="1">
        <v>14.764112552014099</v>
      </c>
      <c r="C258" s="1">
        <v>0.23822698567085801</v>
      </c>
    </row>
    <row r="259" spans="1:3" ht="45" x14ac:dyDescent="0.25">
      <c r="A259" s="1" t="s">
        <v>236</v>
      </c>
      <c r="B259" s="1">
        <v>14.7106184874969</v>
      </c>
      <c r="C259" s="1">
        <v>0.236137249858582</v>
      </c>
    </row>
    <row r="260" spans="1:3" ht="45" x14ac:dyDescent="0.25">
      <c r="A260" s="1" t="s">
        <v>237</v>
      </c>
      <c r="B260" s="1">
        <v>14.749177714501</v>
      </c>
      <c r="C260" s="1">
        <v>0.236589149526167</v>
      </c>
    </row>
    <row r="261" spans="1:3" ht="45" x14ac:dyDescent="0.25">
      <c r="A261" s="1" t="s">
        <v>238</v>
      </c>
      <c r="B261" s="1">
        <v>14.6684970880551</v>
      </c>
      <c r="C261" s="1">
        <v>0.234995035195148</v>
      </c>
    </row>
    <row r="262" spans="1:3" ht="45" x14ac:dyDescent="0.25">
      <c r="A262" s="1" t="s">
        <v>239</v>
      </c>
      <c r="B262" s="1">
        <v>14.5764121579489</v>
      </c>
      <c r="C262" s="1">
        <v>0.238435257488993</v>
      </c>
    </row>
    <row r="263" spans="1:3" ht="45" x14ac:dyDescent="0.25">
      <c r="A263" s="1" t="s">
        <v>240</v>
      </c>
      <c r="B263" s="1">
        <v>14.633716179029699</v>
      </c>
      <c r="C263" s="1">
        <v>0.23631298859917599</v>
      </c>
    </row>
    <row r="264" spans="1:3" ht="45" x14ac:dyDescent="0.25">
      <c r="A264" s="1" t="s">
        <v>241</v>
      </c>
      <c r="B264" s="1">
        <v>14.618198212113001</v>
      </c>
      <c r="C264" s="1">
        <v>0.238968925765909</v>
      </c>
    </row>
    <row r="265" spans="1:3" ht="45" x14ac:dyDescent="0.25">
      <c r="A265" s="1" t="s">
        <v>242</v>
      </c>
      <c r="B265" s="1">
        <v>14.482642723981799</v>
      </c>
      <c r="C265" s="1">
        <v>0.237506075673066</v>
      </c>
    </row>
    <row r="266" spans="1:3" ht="45" x14ac:dyDescent="0.25">
      <c r="A266" s="1" t="s">
        <v>243</v>
      </c>
      <c r="B266" s="1">
        <v>14.491750683935599</v>
      </c>
      <c r="C266" s="1">
        <v>0.237718713583811</v>
      </c>
    </row>
    <row r="267" spans="1:3" ht="45" x14ac:dyDescent="0.25">
      <c r="A267" s="1" t="s">
        <v>276</v>
      </c>
      <c r="B267" s="1">
        <v>17.825013007136501</v>
      </c>
      <c r="C267" s="1">
        <v>0.29193451692567801</v>
      </c>
    </row>
    <row r="268" spans="1:3" ht="45" x14ac:dyDescent="0.25">
      <c r="A268" s="1" t="s">
        <v>277</v>
      </c>
      <c r="B268" s="1">
        <v>17.9319730766783</v>
      </c>
      <c r="C268" s="1">
        <v>0.28873287738484599</v>
      </c>
    </row>
    <row r="269" spans="1:3" ht="45" x14ac:dyDescent="0.25">
      <c r="A269" s="1" t="s">
        <v>278</v>
      </c>
      <c r="B269" s="1">
        <v>18.039044650769</v>
      </c>
      <c r="C269" s="1">
        <v>0.28985427653153101</v>
      </c>
    </row>
    <row r="270" spans="1:3" ht="45" x14ac:dyDescent="0.25">
      <c r="A270" s="1" t="s">
        <v>279</v>
      </c>
      <c r="B270" s="1">
        <v>18.0604756933053</v>
      </c>
      <c r="C270" s="1">
        <v>0.29473582812057803</v>
      </c>
    </row>
    <row r="271" spans="1:3" ht="45" x14ac:dyDescent="0.25">
      <c r="A271" s="1" t="s">
        <v>280</v>
      </c>
      <c r="B271" s="1">
        <v>17.9979172106978</v>
      </c>
      <c r="C271" s="1">
        <v>0.29630016894823502</v>
      </c>
    </row>
    <row r="272" spans="1:3" ht="45" x14ac:dyDescent="0.25">
      <c r="A272" s="1" t="s">
        <v>281</v>
      </c>
      <c r="B272" s="1">
        <v>17.998827423434999</v>
      </c>
      <c r="C272" s="1">
        <v>0.290375757335809</v>
      </c>
    </row>
    <row r="273" spans="1:3" ht="45" x14ac:dyDescent="0.25">
      <c r="A273" s="1" t="s">
        <v>282</v>
      </c>
      <c r="B273" s="1">
        <v>18.041509768701101</v>
      </c>
      <c r="C273" s="1">
        <v>0.29184259037329402</v>
      </c>
    </row>
    <row r="274" spans="1:3" ht="45" x14ac:dyDescent="0.25">
      <c r="A274" s="1" t="s">
        <v>283</v>
      </c>
      <c r="B274" s="1">
        <v>18.113057907959</v>
      </c>
      <c r="C274" s="1">
        <v>0.29495272762742802</v>
      </c>
    </row>
    <row r="275" spans="1:3" ht="45" x14ac:dyDescent="0.25">
      <c r="A275" s="1" t="s">
        <v>284</v>
      </c>
      <c r="B275" s="1">
        <v>18.000340035364701</v>
      </c>
      <c r="C275" s="1">
        <v>0.29546767207366198</v>
      </c>
    </row>
    <row r="276" spans="1:3" ht="45" x14ac:dyDescent="0.25">
      <c r="A276" s="1" t="s">
        <v>285</v>
      </c>
      <c r="B276" s="1">
        <v>18.056008326627001</v>
      </c>
      <c r="C276" s="1">
        <v>0.29613521382059799</v>
      </c>
    </row>
    <row r="277" spans="1:3" ht="45" x14ac:dyDescent="0.25">
      <c r="A277" s="1" t="s">
        <v>286</v>
      </c>
      <c r="B277" s="1">
        <v>18.143480906181601</v>
      </c>
      <c r="C277" s="1">
        <v>0.29582825670155199</v>
      </c>
    </row>
    <row r="278" spans="1:3" ht="45" x14ac:dyDescent="0.25">
      <c r="A278" s="1" t="s">
        <v>287</v>
      </c>
      <c r="B278" s="1">
        <v>18.0505063076521</v>
      </c>
      <c r="C278" s="1">
        <v>0.29449530569974303</v>
      </c>
    </row>
    <row r="279" spans="1:3" ht="45" x14ac:dyDescent="0.25">
      <c r="A279" s="1" t="s">
        <v>288</v>
      </c>
      <c r="B279" s="1">
        <v>17.975837914720699</v>
      </c>
      <c r="C279" s="1">
        <v>0.29806425275037302</v>
      </c>
    </row>
    <row r="280" spans="1:3" ht="45" x14ac:dyDescent="0.25">
      <c r="A280" s="1" t="s">
        <v>289</v>
      </c>
      <c r="B280" s="1">
        <v>17.958408612980101</v>
      </c>
      <c r="C280" s="1">
        <v>0.29361605170472399</v>
      </c>
    </row>
    <row r="281" spans="1:3" ht="45" x14ac:dyDescent="0.25">
      <c r="A281" s="1" t="s">
        <v>290</v>
      </c>
      <c r="B281" s="1">
        <v>18.089794941394199</v>
      </c>
      <c r="C281" s="1">
        <v>0.29750345759486801</v>
      </c>
    </row>
    <row r="282" spans="1:3" ht="45" x14ac:dyDescent="0.25">
      <c r="A282" s="1" t="s">
        <v>291</v>
      </c>
      <c r="B282" s="1">
        <v>18.011107051113001</v>
      </c>
      <c r="C282" s="1">
        <v>0.29221770492358401</v>
      </c>
    </row>
    <row r="283" spans="1:3" ht="45" x14ac:dyDescent="0.25">
      <c r="A283" s="1" t="s">
        <v>292</v>
      </c>
      <c r="B283" s="1">
        <v>18.059805482066999</v>
      </c>
      <c r="C283" s="1">
        <v>0.29462962623990302</v>
      </c>
    </row>
    <row r="284" spans="1:3" ht="45" x14ac:dyDescent="0.25">
      <c r="A284" s="1" t="s">
        <v>293</v>
      </c>
      <c r="B284" s="1">
        <v>17.9483749982906</v>
      </c>
      <c r="C284" s="1">
        <v>0.29592312403825599</v>
      </c>
    </row>
    <row r="285" spans="1:3" ht="45" x14ac:dyDescent="0.25">
      <c r="A285" s="1" t="s">
        <v>294</v>
      </c>
      <c r="B285" s="1">
        <v>17.986594818813899</v>
      </c>
      <c r="C285" s="1">
        <v>0.29448024773360298</v>
      </c>
    </row>
    <row r="286" spans="1:3" ht="45" x14ac:dyDescent="0.25">
      <c r="A286" s="1" t="s">
        <v>295</v>
      </c>
      <c r="B286" s="1">
        <v>18.0136321630971</v>
      </c>
      <c r="C286" s="1">
        <v>0.29587930445673999</v>
      </c>
    </row>
    <row r="287" spans="1:3" ht="45" x14ac:dyDescent="0.25">
      <c r="A287" s="1" t="s">
        <v>296</v>
      </c>
      <c r="B287" s="1">
        <v>18.175378572568899</v>
      </c>
      <c r="C287" s="1">
        <v>0.28842517989208999</v>
      </c>
    </row>
    <row r="288" spans="1:3" ht="45" x14ac:dyDescent="0.25">
      <c r="A288" s="1" t="s">
        <v>297</v>
      </c>
      <c r="B288" s="1">
        <v>18.118575471661899</v>
      </c>
      <c r="C288" s="1">
        <v>0.29360342062414901</v>
      </c>
    </row>
    <row r="289" spans="1:3" ht="45" x14ac:dyDescent="0.25">
      <c r="A289" s="1" t="s">
        <v>298</v>
      </c>
      <c r="B289" s="1">
        <v>17.929983986435602</v>
      </c>
      <c r="C289" s="1">
        <v>0.28921987206488498</v>
      </c>
    </row>
    <row r="290" spans="1:3" ht="45" x14ac:dyDescent="0.25">
      <c r="A290" s="1" t="s">
        <v>299</v>
      </c>
      <c r="B290" s="1">
        <v>18.106604307150199</v>
      </c>
      <c r="C290" s="1">
        <v>0.29134851176696303</v>
      </c>
    </row>
    <row r="291" spans="1:3" ht="45" x14ac:dyDescent="0.25">
      <c r="A291" s="1" t="s">
        <v>300</v>
      </c>
      <c r="B291" s="1">
        <v>17.996855885347902</v>
      </c>
      <c r="C291" s="1">
        <v>0.29264779346075898</v>
      </c>
    </row>
    <row r="292" spans="1:3" ht="45" x14ac:dyDescent="0.25">
      <c r="A292" s="1" t="s">
        <v>301</v>
      </c>
      <c r="B292" s="1">
        <v>18.121396667491499</v>
      </c>
      <c r="C292" s="1">
        <v>0.28825504808202801</v>
      </c>
    </row>
    <row r="293" spans="1:3" ht="45" x14ac:dyDescent="0.25">
      <c r="A293" s="1" t="s">
        <v>302</v>
      </c>
      <c r="B293" s="1">
        <v>18.094216738234799</v>
      </c>
      <c r="C293" s="1">
        <v>0.29422715038680303</v>
      </c>
    </row>
    <row r="294" spans="1:3" ht="45" x14ac:dyDescent="0.25">
      <c r="A294" s="1" t="s">
        <v>303</v>
      </c>
      <c r="B294" s="1">
        <v>18.1174045096291</v>
      </c>
      <c r="C294" s="1">
        <v>0.295993095562951</v>
      </c>
    </row>
    <row r="295" spans="1:3" ht="45" x14ac:dyDescent="0.25">
      <c r="A295" s="1" t="s">
        <v>304</v>
      </c>
      <c r="B295" s="1">
        <v>17.975345051957699</v>
      </c>
      <c r="C295" s="1">
        <v>0.291643296428021</v>
      </c>
    </row>
    <row r="296" spans="1:3" ht="45" x14ac:dyDescent="0.25">
      <c r="A296" s="1" t="s">
        <v>305</v>
      </c>
      <c r="B296" s="1">
        <v>18.0641154539816</v>
      </c>
      <c r="C296" s="1">
        <v>0.29408431924388001</v>
      </c>
    </row>
    <row r="297" spans="1:3" ht="45" x14ac:dyDescent="0.25">
      <c r="A297" s="1" t="s">
        <v>306</v>
      </c>
      <c r="B297" s="1">
        <v>18.268545430641002</v>
      </c>
      <c r="C297" s="1">
        <v>0.29215304331091801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M39"/>
  <sheetViews>
    <sheetView topLeftCell="A28" workbookViewId="0">
      <selection activeCell="K1" sqref="K1:K1048576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3" ht="21.75" customHeight="1" x14ac:dyDescent="0.25">
      <c r="A1" t="s">
        <v>208</v>
      </c>
      <c r="B1">
        <f>_xlfn.STDEV.S(B4:B39)/SQRT(COUNT(B4:B39))</f>
        <v>6.9565168064832919E-4</v>
      </c>
      <c r="C1">
        <f t="shared" ref="C1:J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>_xlfn.STDEV.S(K4:K39)/SQRT(COUNT(K4:K39))</f>
        <v>2.9474082877412088E-4</v>
      </c>
      <c r="L1">
        <f>_xlfn.STDEV.S(L4:L39)/SQRT(COUNT(L4:L39))</f>
        <v>1.9697860219462585E-3</v>
      </c>
      <c r="M1">
        <f>_xlfn.STDEV.S(M4:M39)/SQRT(COUNT(M4:M39))</f>
        <v>4.8722013994164027E-4</v>
      </c>
    </row>
    <row r="2" spans="1:13" ht="15.75" customHeight="1" x14ac:dyDescent="0.25">
      <c r="A2" t="s">
        <v>209</v>
      </c>
      <c r="B2">
        <f>100*B1/AVERAGE(B4:B39)</f>
        <v>0.49197700805743194</v>
      </c>
      <c r="C2">
        <f t="shared" ref="C2:J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>100*K1/AVERAGE(K4:K39)</f>
        <v>0.13859182575658374</v>
      </c>
      <c r="L2">
        <f>100*L1/AVERAGE(L4:L39)</f>
        <v>0.81017259312631351</v>
      </c>
      <c r="M2">
        <f>100*M1/AVERAGE(M4:M39)</f>
        <v>0.16607519486925235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307</v>
      </c>
    </row>
    <row r="4" spans="1:13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0.21689563024651701</v>
      </c>
      <c r="L4" s="1">
        <v>0.23747635372092801</v>
      </c>
      <c r="M4" s="1">
        <v>0.29193451692567801</v>
      </c>
    </row>
    <row r="5" spans="1:13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0.21250705902688999</v>
      </c>
      <c r="L5" s="1">
        <v>0.24180291421483799</v>
      </c>
      <c r="M5" s="1">
        <v>0.28873287738484599</v>
      </c>
    </row>
    <row r="6" spans="1:13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0.21268324019514501</v>
      </c>
      <c r="L6" s="1">
        <v>0.23775144209915899</v>
      </c>
      <c r="M6" s="1">
        <v>0.28985427653153101</v>
      </c>
    </row>
    <row r="7" spans="1:13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0.21049345542616399</v>
      </c>
      <c r="L7" s="1">
        <v>0.24065215342237201</v>
      </c>
      <c r="M7" s="1">
        <v>0.29473582812057803</v>
      </c>
    </row>
    <row r="8" spans="1:13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0.214431740824571</v>
      </c>
      <c r="L8" s="1">
        <v>0.238634580986853</v>
      </c>
      <c r="M8" s="1">
        <v>0.29630016894823502</v>
      </c>
    </row>
    <row r="9" spans="1:13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  <c r="K9" s="1">
        <v>0.21026943516751501</v>
      </c>
      <c r="L9" s="1">
        <v>0.24123516367901099</v>
      </c>
      <c r="M9" s="1">
        <v>0.290375757335809</v>
      </c>
    </row>
    <row r="10" spans="1:13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  <c r="K10" s="1">
        <v>0.211983108185162</v>
      </c>
      <c r="L10" s="1">
        <v>0.23838761262462899</v>
      </c>
      <c r="M10" s="1">
        <v>0.29184259037329402</v>
      </c>
    </row>
    <row r="11" spans="1:13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  <c r="K11" s="1">
        <v>0.212540414406241</v>
      </c>
      <c r="L11" s="1">
        <v>0.23787175668006799</v>
      </c>
      <c r="M11" s="1">
        <v>0.29495272762742802</v>
      </c>
    </row>
    <row r="12" spans="1:13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  <c r="K12" s="1">
        <v>0.21316933311979799</v>
      </c>
      <c r="L12" s="1">
        <v>0.235957408677299</v>
      </c>
      <c r="M12" s="1">
        <v>0.29546767207366198</v>
      </c>
    </row>
    <row r="13" spans="1:13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  <c r="K13" s="1">
        <v>0.212515123863107</v>
      </c>
      <c r="L13" s="1">
        <v>0.23761103430247099</v>
      </c>
      <c r="M13" s="1">
        <v>0.29613521382059799</v>
      </c>
    </row>
    <row r="14" spans="1:13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  <c r="K14" s="1">
        <v>0.21030240285409901</v>
      </c>
      <c r="L14" s="1">
        <v>0.24049928819975</v>
      </c>
      <c r="M14" s="1">
        <v>0.29582825670155199</v>
      </c>
    </row>
    <row r="15" spans="1:13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  <c r="K15" s="1">
        <v>0.213000429148374</v>
      </c>
      <c r="L15" s="1">
        <v>0.23875237313230799</v>
      </c>
      <c r="M15" s="1">
        <v>0.29449530569974303</v>
      </c>
    </row>
    <row r="16" spans="1:13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  <c r="K16" s="1">
        <v>0.21204120218539499</v>
      </c>
      <c r="L16" s="1">
        <v>0.23577509684512599</v>
      </c>
      <c r="M16" s="1">
        <v>0.29806425275037302</v>
      </c>
    </row>
    <row r="17" spans="1:13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  <c r="K17" s="1">
        <v>0.211005527878392</v>
      </c>
      <c r="L17" s="1">
        <v>0.23798590162913699</v>
      </c>
      <c r="M17" s="1">
        <v>0.29361605170472399</v>
      </c>
    </row>
    <row r="18" spans="1:13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  <c r="K18" s="1">
        <v>0.21490935202097999</v>
      </c>
      <c r="L18" s="1">
        <v>0.23776270729380899</v>
      </c>
      <c r="M18" s="1">
        <v>0.29750345759486801</v>
      </c>
    </row>
    <row r="19" spans="1:13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  <c r="K19" s="1">
        <v>0.214705500945685</v>
      </c>
      <c r="L19" s="1">
        <v>0.23525871098023601</v>
      </c>
      <c r="M19" s="1">
        <v>0.29221770492358401</v>
      </c>
    </row>
    <row r="20" spans="1:13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  <c r="K20" s="1">
        <v>0.21046954774395399</v>
      </c>
      <c r="L20" s="1">
        <v>0.23822698567085801</v>
      </c>
      <c r="M20" s="1">
        <v>0.29462962623990302</v>
      </c>
    </row>
    <row r="21" spans="1:13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  <c r="K21" s="1">
        <v>0.212979730482002</v>
      </c>
      <c r="L21" s="1">
        <v>0.236137249858582</v>
      </c>
      <c r="M21" s="1">
        <v>0.29592312403825599</v>
      </c>
    </row>
    <row r="22" spans="1:13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  <c r="K22" s="1">
        <v>0.21145441547031901</v>
      </c>
      <c r="L22" s="1">
        <v>0.236589149526167</v>
      </c>
      <c r="M22" s="1">
        <v>0.29448024773360298</v>
      </c>
    </row>
    <row r="23" spans="1:13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  <c r="K23" s="1">
        <v>0.21334229216903</v>
      </c>
      <c r="L23" s="1">
        <v>0.234995035195148</v>
      </c>
      <c r="M23" s="1">
        <v>0.29587930445673999</v>
      </c>
    </row>
    <row r="24" spans="1:13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  <c r="K24" s="1">
        <v>0.21313225436689001</v>
      </c>
      <c r="L24" s="1">
        <v>0.238435257488993</v>
      </c>
      <c r="M24" s="1">
        <v>0.28842517989208999</v>
      </c>
    </row>
    <row r="25" spans="1:13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  <c r="K25" s="1">
        <v>0.21364986681269199</v>
      </c>
      <c r="L25" s="1">
        <v>0.23631298859917599</v>
      </c>
      <c r="M25" s="1">
        <v>0.29360342062414901</v>
      </c>
    </row>
    <row r="26" spans="1:13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  <c r="K26" s="1">
        <v>0.21046298569896901</v>
      </c>
      <c r="L26" s="1">
        <v>0.238968925765909</v>
      </c>
      <c r="M26" s="1">
        <v>0.28921987206488498</v>
      </c>
    </row>
    <row r="27" spans="1:13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  <c r="K27" s="1">
        <v>0.21370475343700501</v>
      </c>
      <c r="L27" s="1">
        <v>0.237506075673066</v>
      </c>
      <c r="M27" s="1">
        <v>0.29134851176696303</v>
      </c>
    </row>
    <row r="28" spans="1:13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  <c r="K28" s="1">
        <v>0.213427613164866</v>
      </c>
      <c r="L28" s="1">
        <v>0.237718713583811</v>
      </c>
      <c r="M28" s="1">
        <v>0.29264779346075898</v>
      </c>
    </row>
    <row r="29" spans="1:13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  <c r="K29" s="1">
        <v>0.21285885222227299</v>
      </c>
      <c r="L29" s="1">
        <v>0.26184487099436499</v>
      </c>
      <c r="M29" s="1">
        <v>0.28825504808202801</v>
      </c>
    </row>
    <row r="30" spans="1:13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  <c r="K30" s="1">
        <v>0.21229610722325801</v>
      </c>
      <c r="L30" s="1">
        <v>0.26409583467590397</v>
      </c>
      <c r="M30" s="1">
        <v>0.29422715038680303</v>
      </c>
    </row>
    <row r="31" spans="1:13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  <c r="K31" s="1">
        <v>0.213479995323273</v>
      </c>
      <c r="L31" s="1">
        <v>0.26424448419416702</v>
      </c>
      <c r="M31" s="1">
        <v>0.295993095562951</v>
      </c>
    </row>
    <row r="32" spans="1:13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  <c r="L32" s="1">
        <v>0.26363414452799</v>
      </c>
      <c r="M32" s="1">
        <v>0.291643296428021</v>
      </c>
    </row>
    <row r="33" spans="1:13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  <c r="L33" s="1">
        <v>0.26464837628465498</v>
      </c>
      <c r="M33" s="1">
        <v>0.29408431924388001</v>
      </c>
    </row>
    <row r="34" spans="1:13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  <c r="L34" s="1">
        <v>0.27030866825799199</v>
      </c>
      <c r="M34" s="1">
        <v>0.29215304331091801</v>
      </c>
    </row>
    <row r="35" spans="1:13" x14ac:dyDescent="0.25">
      <c r="A35">
        <v>32</v>
      </c>
      <c r="D35" s="1">
        <v>0.118181098472526</v>
      </c>
      <c r="F35" s="1">
        <v>0.22249606599096799</v>
      </c>
    </row>
    <row r="36" spans="1:13" x14ac:dyDescent="0.25">
      <c r="A36">
        <v>33</v>
      </c>
      <c r="F36" s="1">
        <v>0.22770140189949001</v>
      </c>
    </row>
    <row r="37" spans="1:13" x14ac:dyDescent="0.25">
      <c r="A37">
        <v>34</v>
      </c>
      <c r="F37" s="1">
        <v>0.22467693879523801</v>
      </c>
    </row>
    <row r="38" spans="1:13" x14ac:dyDescent="0.25">
      <c r="A38">
        <v>35</v>
      </c>
      <c r="F38" s="1">
        <v>0.22590951148508701</v>
      </c>
    </row>
    <row r="39" spans="1:13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M39"/>
  <sheetViews>
    <sheetView workbookViewId="0">
      <selection activeCell="O14" sqref="O14"/>
    </sheetView>
  </sheetViews>
  <sheetFormatPr defaultRowHeight="15" x14ac:dyDescent="0.25"/>
  <cols>
    <col min="1" max="1" width="12.7109375" customWidth="1"/>
  </cols>
  <sheetData>
    <row r="1" spans="1:13" x14ac:dyDescent="0.25">
      <c r="A1" t="s">
        <v>208</v>
      </c>
      <c r="B1">
        <f>_xlfn.STDEV.S(B4:B39)/SQRT(COUNT(B4:B39))</f>
        <v>7.0402764322719233E-2</v>
      </c>
      <c r="C1">
        <f t="shared" ref="C1:J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ref="K1:L1" si="1">_xlfn.STDEV.S(K4:K39)/SQRT(COUNT(K4:K39))</f>
        <v>1.8161309264456475E-2</v>
      </c>
      <c r="L1">
        <f t="shared" si="1"/>
        <v>0.1262057679132047</v>
      </c>
      <c r="M1">
        <f t="shared" ref="M1" si="2">_xlfn.STDEV.S(M4:M39)/SQRT(COUNT(M4:M39))</f>
        <v>1.5436675245504185E-2</v>
      </c>
    </row>
    <row r="2" spans="1:13" x14ac:dyDescent="0.25">
      <c r="A2" t="s">
        <v>209</v>
      </c>
      <c r="B2">
        <f>100*B1/AVERAGE(B4:B39)</f>
        <v>0.82580237252011701</v>
      </c>
      <c r="C2">
        <f t="shared" ref="C2:J2" si="3">100*C1/AVERAGE(C4:C39)</f>
        <v>0.41179120150630028</v>
      </c>
      <c r="D2">
        <f t="shared" si="3"/>
        <v>0.12350376866812519</v>
      </c>
      <c r="E2">
        <f t="shared" si="3"/>
        <v>0.23796167125488132</v>
      </c>
      <c r="F2">
        <f t="shared" si="3"/>
        <v>0.12581532383025565</v>
      </c>
      <c r="G2">
        <f>100*G1/AVERAGE(G4:G39)</f>
        <v>0.11527055038412339</v>
      </c>
      <c r="H2">
        <f t="shared" si="3"/>
        <v>0.18393019529130264</v>
      </c>
      <c r="I2">
        <f t="shared" si="3"/>
        <v>0.17714173263345009</v>
      </c>
      <c r="J2">
        <f t="shared" si="3"/>
        <v>0.22133895160881803</v>
      </c>
      <c r="K2">
        <f t="shared" ref="K2:M2" si="4">100*K1/AVERAGE(K4:K39)</f>
        <v>0.13871542869800468</v>
      </c>
      <c r="L2">
        <f t="shared" si="4"/>
        <v>0.84403420351137537</v>
      </c>
      <c r="M2">
        <f t="shared" si="4"/>
        <v>8.55645429483185E-2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308</v>
      </c>
    </row>
    <row r="4" spans="1:13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13.2697393001639</v>
      </c>
      <c r="L4" s="1">
        <v>14.610387851091801</v>
      </c>
      <c r="M4" s="1">
        <v>17.825013007136501</v>
      </c>
    </row>
    <row r="5" spans="1:13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13.085484930856</v>
      </c>
      <c r="L5" s="1">
        <v>14.824645793302301</v>
      </c>
      <c r="M5" s="1">
        <v>17.9319730766783</v>
      </c>
    </row>
    <row r="6" spans="1:13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13.175945695541801</v>
      </c>
      <c r="L6" s="1">
        <v>14.4528707103913</v>
      </c>
      <c r="M6" s="1">
        <v>18.039044650769</v>
      </c>
    </row>
    <row r="7" spans="1:13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12.932688227182499</v>
      </c>
      <c r="L7" s="1">
        <v>14.6109532885724</v>
      </c>
      <c r="M7" s="1">
        <v>18.0604756933053</v>
      </c>
    </row>
    <row r="8" spans="1:13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12.983441137506301</v>
      </c>
      <c r="L8" s="1">
        <v>14.525535608882601</v>
      </c>
      <c r="M8" s="1">
        <v>17.9979172106978</v>
      </c>
    </row>
    <row r="9" spans="1:13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  <c r="K9" s="1">
        <v>13.0765465639323</v>
      </c>
      <c r="L9" s="1">
        <v>14.703570164436799</v>
      </c>
      <c r="M9" s="1">
        <v>17.998827423434999</v>
      </c>
    </row>
    <row r="10" spans="1:13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  <c r="K10" s="1">
        <v>13.1139776982864</v>
      </c>
      <c r="L10" s="1">
        <v>14.6469605754983</v>
      </c>
      <c r="M10" s="1">
        <v>18.041509768701101</v>
      </c>
    </row>
    <row r="11" spans="1:13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  <c r="K11" s="1">
        <v>13.148082507003</v>
      </c>
      <c r="L11" s="1">
        <v>14.4430203101595</v>
      </c>
      <c r="M11" s="1">
        <v>18.113057907959</v>
      </c>
    </row>
    <row r="12" spans="1:13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  <c r="K12" s="1">
        <v>12.9457941612001</v>
      </c>
      <c r="L12" s="1">
        <v>14.549598435905899</v>
      </c>
      <c r="M12" s="1">
        <v>18.000340035364701</v>
      </c>
    </row>
    <row r="13" spans="1:13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  <c r="K13" s="1">
        <v>13.0137021255065</v>
      </c>
      <c r="L13" s="1">
        <v>14.7043335718615</v>
      </c>
      <c r="M13" s="1">
        <v>18.056008326627001</v>
      </c>
    </row>
    <row r="14" spans="1:13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  <c r="K14" s="1">
        <v>13.1418022843663</v>
      </c>
      <c r="L14" s="1">
        <v>14.770828981153199</v>
      </c>
      <c r="M14" s="1">
        <v>18.143480906181601</v>
      </c>
    </row>
    <row r="15" spans="1:13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  <c r="K15" s="1">
        <v>13.1707068509</v>
      </c>
      <c r="L15" s="1">
        <v>14.7903674498711</v>
      </c>
      <c r="M15" s="1">
        <v>18.0505063076521</v>
      </c>
    </row>
    <row r="16" spans="1:13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  <c r="K16" s="1">
        <v>13.2066468551924</v>
      </c>
      <c r="L16" s="1">
        <v>14.6129136258226</v>
      </c>
      <c r="M16" s="1">
        <v>17.975837914720699</v>
      </c>
    </row>
    <row r="17" spans="1:13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  <c r="K17" s="1">
        <v>13.158519557395699</v>
      </c>
      <c r="L17" s="1">
        <v>14.5285253520751</v>
      </c>
      <c r="M17" s="1">
        <v>17.958408612980101</v>
      </c>
    </row>
    <row r="18" spans="1:13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  <c r="K18" s="1">
        <v>13.101689684028599</v>
      </c>
      <c r="L18" s="1">
        <v>14.4495865267067</v>
      </c>
      <c r="M18" s="1">
        <v>18.089794941394199</v>
      </c>
    </row>
    <row r="19" spans="1:13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  <c r="K19" s="1">
        <v>13.214174220163899</v>
      </c>
      <c r="L19" s="1">
        <v>14.524765784844201</v>
      </c>
      <c r="M19" s="1">
        <v>18.011107051113001</v>
      </c>
    </row>
    <row r="20" spans="1:13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  <c r="K20" s="1">
        <v>13.1096701956908</v>
      </c>
      <c r="L20" s="1">
        <v>14.764112552014099</v>
      </c>
      <c r="M20" s="1">
        <v>18.059805482066999</v>
      </c>
    </row>
    <row r="21" spans="1:13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  <c r="K21" s="1">
        <v>13.073395646730701</v>
      </c>
      <c r="L21" s="1">
        <v>14.7106184874969</v>
      </c>
      <c r="M21" s="1">
        <v>17.9483749982906</v>
      </c>
    </row>
    <row r="22" spans="1:13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  <c r="K22" s="1">
        <v>13.312833843466599</v>
      </c>
      <c r="L22" s="1">
        <v>14.749177714501</v>
      </c>
      <c r="M22" s="1">
        <v>17.986594818813899</v>
      </c>
    </row>
    <row r="23" spans="1:13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  <c r="K23" s="1">
        <v>13.124987483828299</v>
      </c>
      <c r="L23" s="1">
        <v>14.6684970880551</v>
      </c>
      <c r="M23" s="1">
        <v>18.0136321630971</v>
      </c>
    </row>
    <row r="24" spans="1:13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  <c r="K24" s="1">
        <v>12.978247315348099</v>
      </c>
      <c r="L24" s="1">
        <v>14.5764121579489</v>
      </c>
      <c r="M24" s="1">
        <v>18.175378572568899</v>
      </c>
    </row>
    <row r="25" spans="1:13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  <c r="K25" s="1">
        <v>13.0256010563036</v>
      </c>
      <c r="L25" s="1">
        <v>14.633716179029699</v>
      </c>
      <c r="M25" s="1">
        <v>18.118575471661899</v>
      </c>
    </row>
    <row r="26" spans="1:13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  <c r="K26" s="1">
        <v>12.962310430945999</v>
      </c>
      <c r="L26" s="1">
        <v>14.618198212113001</v>
      </c>
      <c r="M26" s="1">
        <v>17.929983986435602</v>
      </c>
    </row>
    <row r="27" spans="1:13" x14ac:dyDescent="0.25">
      <c r="A27">
        <v>24</v>
      </c>
      <c r="D27" s="1">
        <v>7.1789296294298</v>
      </c>
      <c r="F27" s="1">
        <v>13.907971630891801</v>
      </c>
      <c r="G27" s="1">
        <v>15.4712021433598</v>
      </c>
      <c r="K27" s="1">
        <v>13.003649574191501</v>
      </c>
      <c r="L27" s="1">
        <v>14.482642723981799</v>
      </c>
      <c r="M27" s="1">
        <v>18.106604307150199</v>
      </c>
    </row>
    <row r="28" spans="1:13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  <c r="K28" s="1">
        <v>13.0669427926527</v>
      </c>
      <c r="L28" s="1">
        <v>14.491750683935599</v>
      </c>
      <c r="M28" s="1">
        <v>17.996855885347902</v>
      </c>
    </row>
    <row r="29" spans="1:13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  <c r="K29" s="1">
        <v>13.118146624426201</v>
      </c>
      <c r="L29" s="1">
        <v>16.418772327555299</v>
      </c>
      <c r="M29" s="1">
        <v>18.121396667491499</v>
      </c>
    </row>
    <row r="30" spans="1:13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  <c r="K30" s="1">
        <v>13.061519052065201</v>
      </c>
      <c r="L30" s="1">
        <v>16.352237501405199</v>
      </c>
      <c r="M30" s="1">
        <v>18.094216738234799</v>
      </c>
    </row>
    <row r="31" spans="1:13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  <c r="K31" s="1">
        <v>13.0135879028039</v>
      </c>
      <c r="L31" s="1">
        <v>16.311710862235199</v>
      </c>
      <c r="M31" s="1">
        <v>18.1174045096291</v>
      </c>
    </row>
    <row r="32" spans="1:13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  <c r="L32" s="1">
        <v>16.368589028451201</v>
      </c>
      <c r="M32" s="1">
        <v>17.975345051957699</v>
      </c>
    </row>
    <row r="33" spans="1:13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  <c r="L33" s="1">
        <v>16.289962255694199</v>
      </c>
      <c r="M33" s="1">
        <v>18.0641154539816</v>
      </c>
    </row>
    <row r="34" spans="1:13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  <c r="L34" s="1">
        <v>16.347944436289598</v>
      </c>
      <c r="M34" s="1">
        <v>18.268545430641002</v>
      </c>
    </row>
    <row r="35" spans="1:13" x14ac:dyDescent="0.25">
      <c r="A35">
        <v>32</v>
      </c>
      <c r="D35" s="1">
        <v>7.1606128880127899</v>
      </c>
      <c r="F35" s="1">
        <v>13.9597270287277</v>
      </c>
    </row>
    <row r="36" spans="1:13" x14ac:dyDescent="0.25">
      <c r="A36">
        <v>33</v>
      </c>
      <c r="F36" s="1">
        <v>13.946102058433601</v>
      </c>
    </row>
    <row r="37" spans="1:13" x14ac:dyDescent="0.25">
      <c r="A37">
        <v>34</v>
      </c>
      <c r="F37" s="1">
        <v>13.9823014618208</v>
      </c>
    </row>
    <row r="38" spans="1:13" x14ac:dyDescent="0.25">
      <c r="A38">
        <v>35</v>
      </c>
      <c r="F38" s="1">
        <v>13.749906400784599</v>
      </c>
    </row>
    <row r="39" spans="1:13" x14ac:dyDescent="0.25">
      <c r="A39">
        <v>36</v>
      </c>
      <c r="F39" s="1">
        <v>13.720594247384501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2026-07-09T23:45:24Z</dcterms:modified>
</cp:coreProperties>
</file>