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22,2026\"/>
    </mc:Choice>
  </mc:AlternateContent>
  <xr:revisionPtr revIDLastSave="0" documentId="13_ncr:1_{4EB52344-90A4-4FAA-9C5F-6CBB88194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P4" i="2"/>
  <c r="P5" i="2" s="1"/>
  <c r="Q4" i="2"/>
  <c r="R4" i="2"/>
  <c r="S4" i="2"/>
  <c r="S5" i="2" s="1"/>
  <c r="T4" i="2"/>
  <c r="T5" i="2" s="1"/>
  <c r="U4" i="2"/>
  <c r="U5" i="2" s="1"/>
  <c r="Q5" i="2"/>
  <c r="R5" i="2"/>
  <c r="O3" i="2"/>
  <c r="P3" i="1"/>
  <c r="Q3" i="1"/>
  <c r="R3" i="1"/>
  <c r="S3" i="1"/>
  <c r="T3" i="1"/>
  <c r="U3" i="1"/>
  <c r="V3" i="1"/>
  <c r="O3" i="1"/>
  <c r="U2" i="1"/>
  <c r="U4" i="1" s="1"/>
  <c r="U5" i="1" s="1"/>
  <c r="P2" i="1"/>
  <c r="Q2" i="1"/>
  <c r="Q4" i="1" s="1"/>
  <c r="Q5" i="1" s="1"/>
  <c r="R2" i="1"/>
  <c r="S2" i="1"/>
  <c r="T2" i="1"/>
  <c r="V2" i="1"/>
  <c r="O2" i="1"/>
  <c r="S4" i="1"/>
  <c r="S5" i="1" s="1"/>
  <c r="R4" i="1"/>
  <c r="R5" i="1" s="1"/>
  <c r="P4" i="1" l="1"/>
  <c r="P5" i="1" s="1"/>
  <c r="O4" i="2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<sst xmlns="http://schemas.openxmlformats.org/spreadsheetml/2006/main" count="141" uniqueCount="68">
  <si>
    <t>Date</t>
  </si>
  <si>
    <t>Alpha</t>
  </si>
  <si>
    <t>P0</t>
  </si>
  <si>
    <t>h1</t>
  </si>
  <si>
    <t>mv</t>
  </si>
  <si>
    <t>T</t>
  </si>
  <si>
    <t>gamma</t>
  </si>
  <si>
    <t>offset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</si>
  <si>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</si>
  <si>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</si>
  <si>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</si>
  <si>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</si>
  <si>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</si>
  <si>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</si>
  <si>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</si>
  <si>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</si>
  <si>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</si>
  <si>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</si>
  <si>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</si>
  <si>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</si>
  <si>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</si>
  <si>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</si>
  <si>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</si>
  <si>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</si>
  <si>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</si>
  <si>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</si>
  <si>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</si>
  <si>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</si>
  <si>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</si>
  <si>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h2</t>
  </si>
  <si>
    <t>mean</t>
  </si>
  <si>
    <t>std</t>
  </si>
  <si>
    <t>std/mean</t>
  </si>
  <si>
    <t>100*std/mean/sqrt(n)</t>
  </si>
  <si>
    <t>Apr22,2026+1-05-59PM</t>
  </si>
  <si>
    <t>Apr22,2026+1-15-05PM</t>
  </si>
  <si>
    <t>Apr22,2026+1-26-36PM</t>
  </si>
  <si>
    <t>Apr22,2026+11-42-53AM</t>
  </si>
  <si>
    <t>Apr22,2026+12-02-05PM</t>
  </si>
  <si>
    <t>Apr22,2026+12-09-36PM</t>
  </si>
  <si>
    <t>Apr22,2026+12-16-52PM</t>
  </si>
  <si>
    <t>Apr22,2026+12-27-44PM</t>
  </si>
  <si>
    <t>Apr22,2026+12-37-14PM</t>
  </si>
  <si>
    <t>Apr22,2026+12-44-27PM</t>
  </si>
  <si>
    <t>Apr22,2026+12-51-24PM</t>
  </si>
  <si>
    <t>Apr22,2026+12-58-39PM</t>
  </si>
  <si>
    <t>Apr22,2026+4-36-39PM</t>
  </si>
  <si>
    <t>Apr22,2026+4-44-37PM</t>
  </si>
  <si>
    <t>Apr22,2026+4-51-57PM</t>
  </si>
  <si>
    <t>Apr22,2026+5-01-02PM</t>
  </si>
  <si>
    <t>Apr22,2026+5-08-10PM</t>
  </si>
  <si>
    <t>Apr22,2026+5-15-38PM</t>
  </si>
  <si>
    <t>Apr22,2026+10-03-41PM</t>
  </si>
  <si>
    <t>Apr22,2026+10-28-43PM</t>
  </si>
  <si>
    <t>Apr22,2026+10-39-57PM</t>
  </si>
  <si>
    <t>Apr22,2026+11-00-27PM</t>
  </si>
  <si>
    <t>Apr22,2026+5-23-35PM</t>
  </si>
  <si>
    <t>Apr22,2026+5-33-04PM</t>
  </si>
  <si>
    <t>Apr22,2026+5-42-27PM</t>
  </si>
  <si>
    <t>Apr22,2026+5-50-45PM</t>
  </si>
  <si>
    <t>Apr22,2026+5-58-49PM</t>
  </si>
  <si>
    <t>Apr22,2026+6-06-18PM</t>
  </si>
  <si>
    <t>Apr22,2026+6-14-32PM</t>
  </si>
  <si>
    <t>Apr22,2026+6-22-00PM</t>
  </si>
  <si>
    <t>Apr22,2026+6-34-38PM</t>
  </si>
  <si>
    <t>Apr22,2026+6-44-17PM</t>
  </si>
  <si>
    <t>Apr22,2026+6-55-11PM</t>
  </si>
  <si>
    <t>Apr22,2026+7-03-55PM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</si>
</sst>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'456'!$B$2:$B$35</c:f>
              <c:numCache>
                <c:formatCode>General</c:formatCode>
                <c:ptCount val="34"/>
                <c:pt idx="0">
                  <c:v>0.35292002274665202</c:v>
                </c:pt>
                <c:pt idx="1">
                  <c:v>0.35612255819884497</c:v>
                </c:pt>
                <c:pt idx="2">
                  <c:v>0.35431886485009101</c:v>
                </c:pt>
                <c:pt idx="3">
                  <c:v>0.355561198462578</c:v>
                </c:pt>
                <c:pt idx="4">
                  <c:v>0.35616406948590601</c:v>
                </c:pt>
                <c:pt idx="5">
                  <c:v>0.34851663768441199</c:v>
                </c:pt>
                <c:pt idx="6">
                  <c:v>0.35877748815396798</c:v>
                </c:pt>
                <c:pt idx="7">
                  <c:v>0.35432764547839801</c:v>
                </c:pt>
                <c:pt idx="8">
                  <c:v>0.35656310168157002</c:v>
                </c:pt>
                <c:pt idx="9">
                  <c:v>0.35134812406455601</c:v>
                </c:pt>
                <c:pt idx="10">
                  <c:v>0.35070225843416702</c:v>
                </c:pt>
                <c:pt idx="11">
                  <c:v>0.35895535736293999</c:v>
                </c:pt>
                <c:pt idx="12">
                  <c:v>0.35567086920128499</c:v>
                </c:pt>
                <c:pt idx="13">
                  <c:v>0.31178795184465702</c:v>
                </c:pt>
                <c:pt idx="14">
                  <c:v>0.346892536833601</c:v>
                </c:pt>
                <c:pt idx="15">
                  <c:v>0.34423947007816802</c:v>
                </c:pt>
                <c:pt idx="16">
                  <c:v>0.344409437617333</c:v>
                </c:pt>
                <c:pt idx="17">
                  <c:v>0.34703659603791398</c:v>
                </c:pt>
                <c:pt idx="18">
                  <c:v>0.34707456875367299</c:v>
                </c:pt>
                <c:pt idx="19">
                  <c:v>0.35516987107888698</c:v>
                </c:pt>
                <c:pt idx="20">
                  <c:v>0.35853192743269102</c:v>
                </c:pt>
                <c:pt idx="21">
                  <c:v>0.35828775310792998</c:v>
                </c:pt>
                <c:pt idx="22">
                  <c:v>0.350227469233369</c:v>
                </c:pt>
                <c:pt idx="23">
                  <c:v>0.34906514482005302</c:v>
                </c:pt>
                <c:pt idx="24">
                  <c:v>0.34356140055695</c:v>
                </c:pt>
                <c:pt idx="25">
                  <c:v>0.35687335484639798</c:v>
                </c:pt>
                <c:pt idx="26">
                  <c:v>0.34942416740112597</c:v>
                </c:pt>
                <c:pt idx="27">
                  <c:v>0.35487425955256402</c:v>
                </c:pt>
                <c:pt idx="28">
                  <c:v>0.35614563104011498</c:v>
                </c:pt>
                <c:pt idx="29">
                  <c:v>0.30914708904801502</c:v>
                </c:pt>
                <c:pt idx="30">
                  <c:v>0.35184725404397799</c:v>
                </c:pt>
                <c:pt idx="31">
                  <c:v>0.35199770245649997</c:v>
                </c:pt>
                <c:pt idx="32">
                  <c:v>0.31737134916535198</c:v>
                </c:pt>
                <c:pt idx="33">
                  <c:v>0.323208332656931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'456'!$G$1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'456'!$G$2:$G$35</c:f>
              <c:numCache>
                <c:formatCode>General</c:formatCode>
                <c:ptCount val="34"/>
                <c:pt idx="0">
                  <c:v>44.616479827190098</c:v>
                </c:pt>
                <c:pt idx="1">
                  <c:v>44.608985675891397</c:v>
                </c:pt>
                <c:pt idx="2">
                  <c:v>44.633982113592403</c:v>
                </c:pt>
                <c:pt idx="3">
                  <c:v>44.518203405015498</c:v>
                </c:pt>
                <c:pt idx="4">
                  <c:v>44.571552788051399</c:v>
                </c:pt>
                <c:pt idx="5">
                  <c:v>40.581290018634199</c:v>
                </c:pt>
                <c:pt idx="6">
                  <c:v>44.560706422052597</c:v>
                </c:pt>
                <c:pt idx="7">
                  <c:v>41.480349265655903</c:v>
                </c:pt>
                <c:pt idx="8">
                  <c:v>44.5931305703091</c:v>
                </c:pt>
                <c:pt idx="9">
                  <c:v>40.603145527164401</c:v>
                </c:pt>
                <c:pt idx="10">
                  <c:v>40.605749735184801</c:v>
                </c:pt>
                <c:pt idx="11">
                  <c:v>44.594669571274103</c:v>
                </c:pt>
                <c:pt idx="12">
                  <c:v>44.757313156649801</c:v>
                </c:pt>
                <c:pt idx="13">
                  <c:v>40.7530404969201</c:v>
                </c:pt>
                <c:pt idx="14">
                  <c:v>40.754031808700198</c:v>
                </c:pt>
                <c:pt idx="15">
                  <c:v>40.733900497664997</c:v>
                </c:pt>
                <c:pt idx="16">
                  <c:v>40.7451453380557</c:v>
                </c:pt>
                <c:pt idx="17">
                  <c:v>40.746132972623798</c:v>
                </c:pt>
                <c:pt idx="18">
                  <c:v>40.575608977290798</c:v>
                </c:pt>
                <c:pt idx="19">
                  <c:v>44.616332334067799</c:v>
                </c:pt>
                <c:pt idx="20">
                  <c:v>44.4666727167156</c:v>
                </c:pt>
                <c:pt idx="21">
                  <c:v>44.613687664285798</c:v>
                </c:pt>
                <c:pt idx="22">
                  <c:v>40.736286668057403</c:v>
                </c:pt>
                <c:pt idx="23">
                  <c:v>40.763142728059599</c:v>
                </c:pt>
                <c:pt idx="24">
                  <c:v>40.694432403590199</c:v>
                </c:pt>
                <c:pt idx="25">
                  <c:v>44.701040177539298</c:v>
                </c:pt>
                <c:pt idx="26">
                  <c:v>40.677058071130901</c:v>
                </c:pt>
                <c:pt idx="27">
                  <c:v>44.622362690345597</c:v>
                </c:pt>
                <c:pt idx="28">
                  <c:v>44.697225328150097</c:v>
                </c:pt>
                <c:pt idx="29">
                  <c:v>40.6733919444547</c:v>
                </c:pt>
                <c:pt idx="30">
                  <c:v>44.661055130400001</c:v>
                </c:pt>
                <c:pt idx="31">
                  <c:v>44.6568586101967</c:v>
                </c:pt>
                <c:pt idx="32">
                  <c:v>44.628084464145999</c:v>
                </c:pt>
                <c:pt idx="33">
                  <c:v>44.632925884139702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4-4C55-A3C2-B164FC41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30336"/>
        <c:axId val="183630752"/>
      </c:scatterChart>
      <c:valAx>
        <c:axId val="1836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752"/>
        <c:crosses val="autoZero"/>
        <c:crossBetween val="midCat"/>
      </c:valAx>
      <c:valAx>
        <c:axId val="1836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11.1770115437445</c:v>
                </c:pt>
                <c:pt idx="1">
                  <c:v>11.329302054832899</c:v>
                </c:pt>
                <c:pt idx="2">
                  <c:v>11.3600930964895</c:v>
                </c:pt>
                <c:pt idx="3">
                  <c:v>11.3608067417883</c:v>
                </c:pt>
                <c:pt idx="4">
                  <c:v>11.2077787773182</c:v>
                </c:pt>
                <c:pt idx="5">
                  <c:v>11.3591768457862</c:v>
                </c:pt>
                <c:pt idx="6">
                  <c:v>11.3151694371932</c:v>
                </c:pt>
                <c:pt idx="7">
                  <c:v>11.3416526476838</c:v>
                </c:pt>
                <c:pt idx="8">
                  <c:v>11.2733188316857</c:v>
                </c:pt>
                <c:pt idx="9">
                  <c:v>11.3890419779139</c:v>
                </c:pt>
                <c:pt idx="10">
                  <c:v>11.293114778862501</c:v>
                </c:pt>
                <c:pt idx="11">
                  <c:v>11.283064557196401</c:v>
                </c:pt>
                <c:pt idx="12">
                  <c:v>11.465869859655999</c:v>
                </c:pt>
                <c:pt idx="13">
                  <c:v>11.213397155062999</c:v>
                </c:pt>
                <c:pt idx="14">
                  <c:v>11.371341530264001</c:v>
                </c:pt>
                <c:pt idx="15">
                  <c:v>11.2500539704759</c:v>
                </c:pt>
                <c:pt idx="16">
                  <c:v>11.260353899465199</c:v>
                </c:pt>
                <c:pt idx="17">
                  <c:v>11.259822883760901</c:v>
                </c:pt>
                <c:pt idx="18">
                  <c:v>11.1846809114396</c:v>
                </c:pt>
                <c:pt idx="19">
                  <c:v>11.335767756404501</c:v>
                </c:pt>
                <c:pt idx="20">
                  <c:v>11.2169543924379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450850</xdr:colOff>
      <xdr:row>5</xdr:row>
      <xdr:rowOff>425450</xdr:rowOff>
    </xdr:from>
    <xdr:to>
      <xdr:col>26</xdr:col>
      <xdr:colOff>146050</xdr:colOff>
      <xdr:row>10</xdr:row>
      <xdr:rowOff>406400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4</xdr:row>
      <xdr:rowOff>319087</xdr:rowOff>
    </xdr:from>
    <xdr:to>
      <xdr:col>18</xdr:col>
      <xdr:colOff>76200</xdr:colOff>
      <xdr:row>9</xdr:row>
      <xdr:rowOff>204787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E658C5-C088-49CC-9691-F6AA7D142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6</xdr:row>
      <xdr:rowOff>193675</xdr:rowOff>
    </xdr:from>
    <xdr:to>
      <xdr:col>23</xdr:col>
      <xdr:colOff>9525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A7" workbookViewId="0">
      <selection activeCell="O11" sqref="O11"/>
    </sheetView>
  </sheetViews>
  <sheetFormatPr defaultRowHeight="15" x14ac:dyDescent="0.25"/>
  <cols>
    <col min="15" max="15" width="11.42578125" bestFit="1" customWidth="1"/>
    <col min="21" max="21" width="10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29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5" x14ac:dyDescent="0.25">
      <c r="A2" s="1" t="s">
        <v>34</v>
      </c>
      <c r="B2" s="1">
        <v>0.35292002274665202</v>
      </c>
      <c r="C2" s="1">
        <v>1.32465356509553</v>
      </c>
      <c r="D2" s="2">
        <v>7.9179983541606999E-5</v>
      </c>
      <c r="E2" s="2">
        <v>-9.1018924884102994E-5</v>
      </c>
      <c r="F2" s="1">
        <v>2.6128900409344502</v>
      </c>
      <c r="G2" s="1">
        <v>44.616479827190098</v>
      </c>
      <c r="H2" s="1">
        <v>7.5215001461198105E-4</v>
      </c>
      <c r="I2" s="1">
        <v>7.5665993888490001E-3</v>
      </c>
      <c r="N2" t="s">
        <v>30</v>
      </c>
      <c r="O2" s="1">
        <f>AVERAGE(B2:B22)</f>
        <v>0.35071859788010917</v>
      </c>
      <c r="P2" s="1">
        <f t="shared" ref="P2:V2" si="0">AVERAGE(C2:C22)</f>
        <v>1.3248212541100262</v>
      </c>
      <c r="Q2" s="1">
        <f t="shared" si="0"/>
        <v>-1.0194767375665472E-4</v>
      </c>
      <c r="R2" s="1">
        <f t="shared" si="0"/>
        <v>-1.246038805932439E-4</v>
      </c>
      <c r="S2" s="1">
        <f t="shared" si="0"/>
        <v>2.3860693350609785</v>
      </c>
      <c r="T2" s="1">
        <f t="shared" si="0"/>
        <v>42.76744872470023</v>
      </c>
      <c r="U2" s="1">
        <f>AVERAGE(H2:H22)</f>
        <v>7.5215001461198126E-4</v>
      </c>
      <c r="V2" s="1">
        <f t="shared" si="0"/>
        <v>6.4376847684804355E-3</v>
      </c>
    </row>
    <row r="3" spans="1:22" ht="45" x14ac:dyDescent="0.25">
      <c r="A3" s="1" t="s">
        <v>35</v>
      </c>
      <c r="B3" s="1">
        <v>0.35612255819884497</v>
      </c>
      <c r="C3" s="1">
        <v>1.32435175979655</v>
      </c>
      <c r="D3" s="2">
        <v>-3.0543260330788402E-5</v>
      </c>
      <c r="E3" s="2">
        <v>-8.5261072035274293E-5</v>
      </c>
      <c r="F3" s="1">
        <v>2.36107983882557</v>
      </c>
      <c r="G3" s="1">
        <v>44.608985675891397</v>
      </c>
      <c r="H3" s="1">
        <v>7.5215001461198105E-4</v>
      </c>
      <c r="I3" s="1">
        <v>7.6192526821684797E-3</v>
      </c>
      <c r="N3" t="s">
        <v>31</v>
      </c>
      <c r="O3" s="1">
        <f>_xlfn.STDEV.S(B2:B22)</f>
        <v>1.0073666320263431E-2</v>
      </c>
      <c r="P3" s="1">
        <f t="shared" ref="P3:V3" si="1">_xlfn.STDEV.S(C2:C22)</f>
        <v>1.4361461571879633E-3</v>
      </c>
      <c r="Q3" s="1">
        <f t="shared" si="1"/>
        <v>3.1602251537175526E-4</v>
      </c>
      <c r="R3" s="1">
        <f t="shared" si="1"/>
        <v>6.1458021685563047E-5</v>
      </c>
      <c r="S3" s="1">
        <f t="shared" si="1"/>
        <v>0.27306416136066797</v>
      </c>
      <c r="T3" s="1">
        <f t="shared" si="1"/>
        <v>1.9721388575785017</v>
      </c>
      <c r="U3" s="1">
        <f t="shared" si="1"/>
        <v>2.2219532563610803E-19</v>
      </c>
      <c r="V3" s="1">
        <f t="shared" si="1"/>
        <v>1.0006774214028524E-3</v>
      </c>
    </row>
    <row r="4" spans="1:22" ht="45" x14ac:dyDescent="0.25">
      <c r="A4" s="1" t="s">
        <v>36</v>
      </c>
      <c r="B4" s="1">
        <v>0.35431886485009101</v>
      </c>
      <c r="C4" s="1">
        <v>1.3240502764039099</v>
      </c>
      <c r="D4" s="1">
        <v>2.1316017732402E-4</v>
      </c>
      <c r="E4" s="1">
        <v>-1.3426334962180899E-4</v>
      </c>
      <c r="F4" s="1">
        <v>2.1040633860176099</v>
      </c>
      <c r="G4" s="1">
        <v>44.633982113592403</v>
      </c>
      <c r="H4" s="1">
        <v>7.5215001461198105E-4</v>
      </c>
      <c r="I4" s="1">
        <v>7.5982928419343499E-3</v>
      </c>
      <c r="N4" t="s">
        <v>32</v>
      </c>
      <c r="O4" s="1">
        <f>O3/O2</f>
        <v>2.8722931664168682E-2</v>
      </c>
      <c r="P4" s="1">
        <f t="shared" ref="P4:V4" si="2">P3/P2</f>
        <v>1.0840301306554157E-3</v>
      </c>
      <c r="Q4" s="1">
        <f t="shared" si="2"/>
        <v>-3.0998501851654718</v>
      </c>
      <c r="R4" s="1">
        <f t="shared" si="2"/>
        <v>-0.4932271883745436</v>
      </c>
      <c r="S4" s="1">
        <f t="shared" si="2"/>
        <v>0.11444100024599223</v>
      </c>
      <c r="T4" s="1">
        <f t="shared" si="2"/>
        <v>4.6113081710190906E-2</v>
      </c>
      <c r="U4" s="1">
        <f t="shared" si="2"/>
        <v>2.9541357617434074E-16</v>
      </c>
      <c r="V4" s="1">
        <f t="shared" si="2"/>
        <v>0.15544057489460678</v>
      </c>
    </row>
    <row r="5" spans="1:22" ht="45" x14ac:dyDescent="0.25">
      <c r="A5" s="1" t="s">
        <v>37</v>
      </c>
      <c r="B5" s="1">
        <v>0.355561198462578</v>
      </c>
      <c r="C5" s="1">
        <v>1.32284051819397</v>
      </c>
      <c r="D5" s="2">
        <v>-9.0261071329700605E-5</v>
      </c>
      <c r="E5" s="2">
        <v>-8.6882287140867194E-5</v>
      </c>
      <c r="F5" s="1">
        <v>2.8591168018311102</v>
      </c>
      <c r="G5" s="1">
        <v>44.518203405015498</v>
      </c>
      <c r="H5" s="1">
        <v>7.5215001461198105E-4</v>
      </c>
      <c r="I5" s="1">
        <v>7.6436894181358701E-3</v>
      </c>
      <c r="N5" t="s">
        <v>33</v>
      </c>
      <c r="O5" s="1">
        <f>O4/SQRT(COUNT(B2:B22)) * 100</f>
        <v>0.62678575491474708</v>
      </c>
      <c r="P5" s="1">
        <f t="shared" ref="P5:V5" si="3">P4/COUNT(B2:B22) * 100</f>
        <v>5.1620482412162647E-3</v>
      </c>
      <c r="Q5" s="1">
        <f t="shared" si="3"/>
        <v>-14.761191357930819</v>
      </c>
      <c r="R5" s="1">
        <f t="shared" si="3"/>
        <v>-2.3487008970216361</v>
      </c>
      <c r="S5" s="1">
        <f t="shared" si="3"/>
        <v>0.54495714402853446</v>
      </c>
      <c r="T5" s="1">
        <f t="shared" si="3"/>
        <v>0.21958610338186144</v>
      </c>
      <c r="U5" s="1">
        <f t="shared" si="3"/>
        <v>1.4067313151159084E-15</v>
      </c>
      <c r="V5" s="1">
        <f t="shared" si="3"/>
        <v>0.74019321378384173</v>
      </c>
    </row>
    <row r="6" spans="1:22" ht="45" x14ac:dyDescent="0.25">
      <c r="A6" s="1" t="s">
        <v>38</v>
      </c>
      <c r="B6" s="1">
        <v>0.35616406948590601</v>
      </c>
      <c r="C6" s="1">
        <v>1.3229899439319801</v>
      </c>
      <c r="D6" s="1">
        <v>1.5264107034862199E-4</v>
      </c>
      <c r="E6" s="1">
        <v>-1.3025640102168901E-4</v>
      </c>
      <c r="F6" s="1">
        <v>2.6133130577580999</v>
      </c>
      <c r="G6" s="1">
        <v>44.571552788051399</v>
      </c>
      <c r="H6" s="1">
        <v>7.5215001461198105E-4</v>
      </c>
      <c r="I6" s="1">
        <v>7.64551735307702E-3</v>
      </c>
    </row>
    <row r="7" spans="1:22" ht="45" x14ac:dyDescent="0.25">
      <c r="A7" s="1" t="s">
        <v>39</v>
      </c>
      <c r="B7" s="1">
        <v>0.34851663768441199</v>
      </c>
      <c r="C7" s="1">
        <v>1.3251573485078501</v>
      </c>
      <c r="D7" s="1">
        <v>-1.49024667166983E-4</v>
      </c>
      <c r="E7" s="2">
        <v>-7.7406364937266899E-5</v>
      </c>
      <c r="F7" s="1">
        <v>2.6008104594610799</v>
      </c>
      <c r="G7" s="1">
        <v>40.581290018634199</v>
      </c>
      <c r="H7" s="1">
        <v>7.5215001461198105E-4</v>
      </c>
      <c r="I7" s="1">
        <v>6.35013588849108E-3</v>
      </c>
    </row>
    <row r="8" spans="1:22" ht="45" x14ac:dyDescent="0.25">
      <c r="A8" s="1" t="s">
        <v>40</v>
      </c>
      <c r="B8" s="1">
        <v>0.35877748815396798</v>
      </c>
      <c r="C8" s="1">
        <v>1.3231049940759401</v>
      </c>
      <c r="D8" s="2">
        <v>6.6608457003843104E-5</v>
      </c>
      <c r="E8" s="2">
        <v>-9.7534288317871996E-5</v>
      </c>
      <c r="F8" s="1">
        <v>2.6064494052098901</v>
      </c>
      <c r="G8" s="1">
        <v>44.560706422052597</v>
      </c>
      <c r="H8" s="1">
        <v>7.5215001461198105E-4</v>
      </c>
      <c r="I8" s="1">
        <v>7.6369637116306998E-3</v>
      </c>
    </row>
    <row r="9" spans="1:22" ht="45" x14ac:dyDescent="0.25">
      <c r="A9" s="1" t="s">
        <v>41</v>
      </c>
      <c r="B9" s="1">
        <v>0.35432764547839801</v>
      </c>
      <c r="C9" s="1">
        <v>1.32657699391285</v>
      </c>
      <c r="D9" s="2">
        <v>-3.1548760296301303E-5</v>
      </c>
      <c r="E9" s="2">
        <v>-8.2802973425215594E-5</v>
      </c>
      <c r="F9" s="1">
        <v>2.60903369803468</v>
      </c>
      <c r="G9" s="1">
        <v>41.480349265655903</v>
      </c>
      <c r="H9" s="1">
        <v>7.5215001461198105E-4</v>
      </c>
      <c r="I9" s="1">
        <v>5.15273690367364E-3</v>
      </c>
    </row>
    <row r="10" spans="1:22" ht="45" x14ac:dyDescent="0.25">
      <c r="A10" s="1" t="s">
        <v>42</v>
      </c>
      <c r="B10" s="1">
        <v>0.35656310168157002</v>
      </c>
      <c r="C10" s="1">
        <v>1.3249709840569699</v>
      </c>
      <c r="D10" s="2">
        <v>5.4298520782008501E-5</v>
      </c>
      <c r="E10" s="1">
        <v>-1.04130155758878E-4</v>
      </c>
      <c r="F10" s="1">
        <v>2.3638618219060099</v>
      </c>
      <c r="G10" s="1">
        <v>44.5931305703091</v>
      </c>
      <c r="H10" s="1">
        <v>7.5215001461198105E-4</v>
      </c>
      <c r="I10" s="1">
        <v>6.4158253499953201E-3</v>
      </c>
    </row>
    <row r="11" spans="1:22" ht="45" x14ac:dyDescent="0.25">
      <c r="A11" s="1" t="s">
        <v>43</v>
      </c>
      <c r="B11" s="1">
        <v>0.35134812406455601</v>
      </c>
      <c r="C11" s="1">
        <v>1.32625474490579</v>
      </c>
      <c r="D11" s="1">
        <v>-1.9854398123570101E-4</v>
      </c>
      <c r="E11" s="2">
        <v>-6.5303227925419405E-5</v>
      </c>
      <c r="F11" s="1">
        <v>2.3678214034831799</v>
      </c>
      <c r="G11" s="1">
        <v>40.603145527164401</v>
      </c>
      <c r="H11" s="1">
        <v>7.5215001461198105E-4</v>
      </c>
      <c r="I11" s="1">
        <v>6.0421286804800602E-3</v>
      </c>
    </row>
    <row r="12" spans="1:22" ht="45" x14ac:dyDescent="0.25">
      <c r="A12" s="1" t="s">
        <v>44</v>
      </c>
      <c r="B12" s="1">
        <v>0.35070225843416702</v>
      </c>
      <c r="C12" s="1">
        <v>1.3271978582957999</v>
      </c>
      <c r="D12" s="2">
        <v>2.19853233542558E-5</v>
      </c>
      <c r="E12" s="2">
        <v>-8.9811176158660898E-5</v>
      </c>
      <c r="F12" s="1">
        <v>2.6142636356787401</v>
      </c>
      <c r="G12" s="1">
        <v>40.605749735184801</v>
      </c>
      <c r="H12" s="1">
        <v>7.5215001461198105E-4</v>
      </c>
      <c r="I12" s="1">
        <v>5.3269105898450997E-3</v>
      </c>
    </row>
    <row r="13" spans="1:22" ht="45" x14ac:dyDescent="0.25">
      <c r="A13" s="1" t="s">
        <v>45</v>
      </c>
      <c r="B13" s="1">
        <v>0.35895535736293999</v>
      </c>
      <c r="C13" s="1">
        <v>1.3258667352864399</v>
      </c>
      <c r="D13" s="2">
        <v>3.6841339721061302E-5</v>
      </c>
      <c r="E13" s="2">
        <v>-8.4820889478113401E-5</v>
      </c>
      <c r="F13" s="1">
        <v>2.6162164987482401</v>
      </c>
      <c r="G13" s="1">
        <v>44.594669571274103</v>
      </c>
      <c r="H13" s="1">
        <v>7.5215001461198105E-4</v>
      </c>
      <c r="I13" s="1">
        <v>6.5227108878274298E-3</v>
      </c>
    </row>
    <row r="14" spans="1:22" ht="45" x14ac:dyDescent="0.25">
      <c r="A14" s="1" t="s">
        <v>46</v>
      </c>
      <c r="B14" s="1">
        <v>0.35567086920128499</v>
      </c>
      <c r="C14" s="1">
        <v>1.32361203665408</v>
      </c>
      <c r="D14" s="1">
        <v>-4.6479209095301298E-4</v>
      </c>
      <c r="E14" s="1">
        <v>-1.58810791740673E-4</v>
      </c>
      <c r="F14" s="1">
        <v>2.1075436068675701</v>
      </c>
      <c r="G14" s="1">
        <v>44.757313156649801</v>
      </c>
      <c r="H14" s="1">
        <v>7.5215001461198105E-4</v>
      </c>
      <c r="I14" s="1">
        <v>7.1620363442923898E-3</v>
      </c>
    </row>
    <row r="15" spans="1:22" ht="45" x14ac:dyDescent="0.25">
      <c r="A15" s="1" t="s">
        <v>47</v>
      </c>
      <c r="B15" s="1">
        <v>0.31178795184465702</v>
      </c>
      <c r="C15" s="1">
        <v>1.32528925957285</v>
      </c>
      <c r="D15" s="2">
        <v>-9.2152899525665104E-5</v>
      </c>
      <c r="E15" s="1">
        <v>-1.98371408605126E-4</v>
      </c>
      <c r="F15" s="1">
        <v>2.3875663779310199</v>
      </c>
      <c r="G15" s="1">
        <v>40.7530404969201</v>
      </c>
      <c r="H15" s="1">
        <v>7.5215001461198105E-4</v>
      </c>
      <c r="I15" s="1">
        <v>5.5244350732426397E-3</v>
      </c>
    </row>
    <row r="16" spans="1:22" ht="45" x14ac:dyDescent="0.25">
      <c r="A16" s="1" t="s">
        <v>48</v>
      </c>
      <c r="B16" s="1">
        <v>0.346892536833601</v>
      </c>
      <c r="C16" s="1">
        <v>1.3260628361148199</v>
      </c>
      <c r="D16" s="1">
        <v>-5.2587828448154295E-4</v>
      </c>
      <c r="E16" s="1">
        <v>-1.53818409122644E-4</v>
      </c>
      <c r="F16" s="1">
        <v>2.1022171308264399</v>
      </c>
      <c r="G16" s="1">
        <v>40.754031808700198</v>
      </c>
      <c r="H16" s="1">
        <v>7.5215001461198105E-4</v>
      </c>
      <c r="I16" s="1">
        <v>5.26355527396091E-3</v>
      </c>
    </row>
    <row r="17" spans="1:9" ht="45" x14ac:dyDescent="0.25">
      <c r="A17" s="1" t="s">
        <v>49</v>
      </c>
      <c r="B17" s="1">
        <v>0.34423947007816802</v>
      </c>
      <c r="C17" s="1">
        <v>1.3252446630064401</v>
      </c>
      <c r="D17" s="1">
        <v>-3.0597688604445098E-4</v>
      </c>
      <c r="E17" s="1">
        <v>-1.5346804391197001E-4</v>
      </c>
      <c r="F17" s="1">
        <v>2.3649747191744201</v>
      </c>
      <c r="G17" s="1">
        <v>40.733900497664997</v>
      </c>
      <c r="H17" s="1">
        <v>7.5215001461198105E-4</v>
      </c>
      <c r="I17" s="1">
        <v>5.38210001880037E-3</v>
      </c>
    </row>
    <row r="18" spans="1:9" ht="45" x14ac:dyDescent="0.25">
      <c r="A18" s="1" t="s">
        <v>50</v>
      </c>
      <c r="B18" s="1">
        <v>0.344409437617333</v>
      </c>
      <c r="C18" s="1">
        <v>1.32639190937566</v>
      </c>
      <c r="D18" s="1">
        <v>-1.11549895445147E-3</v>
      </c>
      <c r="E18" s="2">
        <v>1.7063843443617001E-5</v>
      </c>
      <c r="F18" s="1">
        <v>1.6111907767763101</v>
      </c>
      <c r="G18" s="1">
        <v>40.7451453380557</v>
      </c>
      <c r="H18" s="1">
        <v>7.5215001461198105E-4</v>
      </c>
      <c r="I18" s="1">
        <v>5.12051375421535E-3</v>
      </c>
    </row>
    <row r="19" spans="1:9" ht="45" x14ac:dyDescent="0.25">
      <c r="A19" s="1" t="s">
        <v>51</v>
      </c>
      <c r="B19" s="1">
        <v>0.34703659603791398</v>
      </c>
      <c r="C19" s="1">
        <v>1.3248566750146999</v>
      </c>
      <c r="D19" s="1">
        <v>1.6445303958483699E-4</v>
      </c>
      <c r="E19" s="1">
        <v>-2.3375738540454901E-4</v>
      </c>
      <c r="F19" s="1">
        <v>2.3590466314134901</v>
      </c>
      <c r="G19" s="1">
        <v>40.746132972623798</v>
      </c>
      <c r="H19" s="1">
        <v>7.5215001461198105E-4</v>
      </c>
      <c r="I19" s="1">
        <v>5.7838012277722801E-3</v>
      </c>
    </row>
    <row r="20" spans="1:9" ht="45" x14ac:dyDescent="0.25">
      <c r="A20" s="1" t="s">
        <v>52</v>
      </c>
      <c r="B20" s="1">
        <v>0.34707456875367299</v>
      </c>
      <c r="C20" s="1">
        <v>1.3257703677888399</v>
      </c>
      <c r="D20" s="1">
        <v>-2.0588800006374799E-4</v>
      </c>
      <c r="E20" s="1">
        <v>-1.79956933424016E-4</v>
      </c>
      <c r="F20" s="1">
        <v>2.11516800682289</v>
      </c>
      <c r="G20" s="1">
        <v>40.575608977290798</v>
      </c>
      <c r="H20" s="1">
        <v>7.5215001461198105E-4</v>
      </c>
      <c r="I20" s="1">
        <v>5.3483048494557496E-3</v>
      </c>
    </row>
    <row r="21" spans="1:9" ht="45" x14ac:dyDescent="0.25">
      <c r="A21" s="1" t="s">
        <v>53</v>
      </c>
      <c r="B21" s="1">
        <v>0.35516987107888698</v>
      </c>
      <c r="C21" s="1">
        <v>1.32145610690743</v>
      </c>
      <c r="D21" s="1">
        <v>3.7671809486670602E-4</v>
      </c>
      <c r="E21" s="1">
        <v>-2.3418054495015901E-4</v>
      </c>
      <c r="F21" s="1">
        <v>2.3666844644307399</v>
      </c>
      <c r="G21" s="1">
        <v>44.616332334067799</v>
      </c>
      <c r="H21" s="1">
        <v>7.5215001461198105E-4</v>
      </c>
      <c r="I21" s="1">
        <v>7.6207599468052804E-3</v>
      </c>
    </row>
    <row r="22" spans="1:9" ht="45" x14ac:dyDescent="0.25">
      <c r="A22" s="1" t="s">
        <v>54</v>
      </c>
      <c r="B22" s="1">
        <v>0.35853192743269102</v>
      </c>
      <c r="C22" s="1">
        <v>1.3245467594121501</v>
      </c>
      <c r="D22" s="2">
        <v>-9.6678299537345094E-5</v>
      </c>
      <c r="E22" s="1">
        <v>-1.91890708037433E-4</v>
      </c>
      <c r="F22" s="1">
        <v>2.364144274149</v>
      </c>
      <c r="G22" s="1">
        <v>44.4666727167156</v>
      </c>
      <c r="H22" s="1">
        <v>7.5215001461198105E-4</v>
      </c>
      <c r="I22" s="1">
        <v>6.46510995343616E-3</v>
      </c>
    </row>
    <row r="23" spans="1:9" ht="45" x14ac:dyDescent="0.25">
      <c r="A23" s="1" t="s">
        <v>55</v>
      </c>
      <c r="B23" s="1">
        <v>0.35828775310792998</v>
      </c>
      <c r="C23" s="1">
        <v>1.3228907667278</v>
      </c>
      <c r="D23" s="2">
        <v>9.9343432075854995E-5</v>
      </c>
      <c r="E23" s="1">
        <v>-2.1053622102973999E-4</v>
      </c>
      <c r="F23" s="1">
        <v>2.3728706942260498</v>
      </c>
      <c r="G23" s="1">
        <v>44.613687664285798</v>
      </c>
      <c r="H23" s="1">
        <v>7.5215001461198105E-4</v>
      </c>
      <c r="I23" s="1">
        <v>7.6519801699284299E-3</v>
      </c>
    </row>
    <row r="24" spans="1:9" ht="45" x14ac:dyDescent="0.25">
      <c r="A24" s="1" t="s">
        <v>56</v>
      </c>
      <c r="B24" s="1">
        <v>0.350227469233369</v>
      </c>
      <c r="C24" s="1">
        <v>1.3227405460377799</v>
      </c>
      <c r="D24" s="1">
        <v>5.8822540251848203E-4</v>
      </c>
      <c r="E24" s="1">
        <v>-2.7456520062359098E-4</v>
      </c>
      <c r="F24" s="1">
        <v>2.6170516776317401</v>
      </c>
      <c r="G24" s="1">
        <v>40.736286668057403</v>
      </c>
      <c r="H24" s="1">
        <v>7.5215001461198105E-4</v>
      </c>
      <c r="I24" s="1">
        <v>6.8838497195246699E-3</v>
      </c>
    </row>
    <row r="25" spans="1:9" ht="45" x14ac:dyDescent="0.25">
      <c r="A25" s="1" t="s">
        <v>57</v>
      </c>
      <c r="B25" s="1">
        <v>0.34906514482005302</v>
      </c>
      <c r="C25" s="1">
        <v>1.32459406049491</v>
      </c>
      <c r="D25" s="1">
        <v>3.1301858992017302E-4</v>
      </c>
      <c r="E25" s="1">
        <v>-2.2468040221729099E-4</v>
      </c>
      <c r="F25" s="1">
        <v>2.62405970857266</v>
      </c>
      <c r="G25" s="1">
        <v>40.763142728059599</v>
      </c>
      <c r="H25" s="1">
        <v>7.5215001461198105E-4</v>
      </c>
      <c r="I25" s="1">
        <v>5.17262490999593E-3</v>
      </c>
    </row>
    <row r="26" spans="1:9" ht="45" x14ac:dyDescent="0.25">
      <c r="A26" s="1" t="s">
        <v>58</v>
      </c>
      <c r="B26" s="1">
        <v>0.34356140055695</v>
      </c>
      <c r="C26" s="1">
        <v>1.3243478890854099</v>
      </c>
      <c r="D26" s="1">
        <v>4.0304721921885798E-4</v>
      </c>
      <c r="E26" s="1">
        <v>-2.37476802438086E-4</v>
      </c>
      <c r="F26" s="1">
        <v>2.6120966980614599</v>
      </c>
      <c r="G26" s="1">
        <v>40.694432403590199</v>
      </c>
      <c r="H26" s="1">
        <v>7.5215001461198105E-4</v>
      </c>
      <c r="I26" s="1">
        <v>5.3540400971936603E-3</v>
      </c>
    </row>
    <row r="27" spans="1:9" ht="45" x14ac:dyDescent="0.25">
      <c r="A27" s="1" t="s">
        <v>59</v>
      </c>
      <c r="B27" s="1">
        <v>0.35687335484639798</v>
      </c>
      <c r="C27" s="1">
        <v>1.32419646174547</v>
      </c>
      <c r="D27" s="2">
        <v>-9.2262103929794097E-5</v>
      </c>
      <c r="E27" s="1">
        <v>-1.8588338222006901E-4</v>
      </c>
      <c r="F27" s="1">
        <v>2.36309304201417</v>
      </c>
      <c r="G27" s="1">
        <v>44.701040177539298</v>
      </c>
      <c r="H27" s="1">
        <v>7.5215001461198105E-4</v>
      </c>
      <c r="I27" s="1">
        <v>6.7613327506030399E-3</v>
      </c>
    </row>
    <row r="28" spans="1:9" ht="45" x14ac:dyDescent="0.25">
      <c r="A28" s="1" t="s">
        <v>60</v>
      </c>
      <c r="B28" s="1">
        <v>0.34942416740112597</v>
      </c>
      <c r="C28" s="1">
        <v>1.3227854941805199</v>
      </c>
      <c r="D28" s="1">
        <v>3.0573245003240898E-4</v>
      </c>
      <c r="E28" s="1">
        <v>-2.30909625299007E-4</v>
      </c>
      <c r="F28" s="1">
        <v>2.6201955001605399</v>
      </c>
      <c r="G28" s="1">
        <v>40.677058071130901</v>
      </c>
      <c r="H28" s="1">
        <v>7.5215001461198105E-4</v>
      </c>
      <c r="I28" s="1">
        <v>7.6500069788869697E-3</v>
      </c>
    </row>
    <row r="29" spans="1:9" ht="45" x14ac:dyDescent="0.25">
      <c r="A29" s="1" t="s">
        <v>61</v>
      </c>
      <c r="B29" s="1">
        <v>0.35487425955256402</v>
      </c>
      <c r="C29" s="1">
        <v>1.32460659958618</v>
      </c>
      <c r="D29" s="1">
        <v>-1.10338479686201E-4</v>
      </c>
      <c r="E29" s="1">
        <v>-1.95553288107878E-4</v>
      </c>
      <c r="F29" s="1">
        <v>2.35928944079139</v>
      </c>
      <c r="G29" s="1">
        <v>44.622362690345597</v>
      </c>
      <c r="H29" s="1">
        <v>7.5215001461198105E-4</v>
      </c>
      <c r="I29" s="1">
        <v>6.0405541735387702E-3</v>
      </c>
    </row>
    <row r="30" spans="1:9" ht="45" x14ac:dyDescent="0.25">
      <c r="A30" s="1" t="s">
        <v>62</v>
      </c>
      <c r="B30" s="1">
        <v>0.35614563104011498</v>
      </c>
      <c r="C30" s="1">
        <v>1.3225586465816901</v>
      </c>
      <c r="D30" s="2">
        <v>1.8807756565559199E-5</v>
      </c>
      <c r="E30" s="1">
        <v>-1.94046730519791E-4</v>
      </c>
      <c r="F30" s="1">
        <v>2.3638347422263699</v>
      </c>
      <c r="G30" s="1">
        <v>44.697225328150097</v>
      </c>
      <c r="H30" s="1">
        <v>7.5215001461198105E-4</v>
      </c>
      <c r="I30" s="1">
        <v>7.6115426517561801E-3</v>
      </c>
    </row>
    <row r="31" spans="1:9" ht="45" x14ac:dyDescent="0.25">
      <c r="A31" s="1" t="s">
        <v>63</v>
      </c>
      <c r="B31" s="1">
        <v>0.30914708904801502</v>
      </c>
      <c r="C31" s="1">
        <v>1.3245606815518201</v>
      </c>
      <c r="D31" s="1">
        <v>3.6210821591202598E-4</v>
      </c>
      <c r="E31" s="1">
        <v>-2.6046701687862497E-4</v>
      </c>
      <c r="F31" s="1">
        <v>2.3945236811547299</v>
      </c>
      <c r="G31" s="1">
        <v>40.6733919444547</v>
      </c>
      <c r="H31" s="1">
        <v>7.5215001461198105E-4</v>
      </c>
      <c r="I31" s="1">
        <v>5.3812878085181997E-3</v>
      </c>
    </row>
    <row r="32" spans="1:9" ht="45" x14ac:dyDescent="0.25">
      <c r="A32" s="1" t="s">
        <v>64</v>
      </c>
      <c r="B32" s="1">
        <v>0.35184725404397799</v>
      </c>
      <c r="C32" s="1">
        <v>1.3214310231239601</v>
      </c>
      <c r="D32" s="1">
        <v>6.9769933739429997E-4</v>
      </c>
      <c r="E32" s="1">
        <v>-2.8690327912323898E-4</v>
      </c>
      <c r="F32" s="1">
        <v>2.58299659232559</v>
      </c>
      <c r="G32" s="1">
        <v>44.661055130400001</v>
      </c>
      <c r="H32" s="1">
        <v>7.5215001461198105E-4</v>
      </c>
      <c r="I32" s="1">
        <v>7.5918069682348599E-3</v>
      </c>
    </row>
    <row r="33" spans="1:9" ht="45" x14ac:dyDescent="0.25">
      <c r="A33" s="1" t="s">
        <v>65</v>
      </c>
      <c r="B33" s="1">
        <v>0.35199770245649997</v>
      </c>
      <c r="C33" s="1">
        <v>1.3229067879904</v>
      </c>
      <c r="D33" s="1">
        <v>-4.0431388291923301E-4</v>
      </c>
      <c r="E33" s="1">
        <v>-1.83065254971727E-4</v>
      </c>
      <c r="F33" s="1">
        <v>1.6180157872347001</v>
      </c>
      <c r="G33" s="1">
        <v>44.6568586101967</v>
      </c>
      <c r="H33" s="1">
        <v>7.5215001461198105E-4</v>
      </c>
      <c r="I33" s="1">
        <v>6.7632198641627396E-3</v>
      </c>
    </row>
    <row r="34" spans="1:9" ht="45" x14ac:dyDescent="0.25">
      <c r="A34" s="1" t="s">
        <v>66</v>
      </c>
      <c r="B34" s="1">
        <v>0.31737134916535198</v>
      </c>
      <c r="C34" s="1">
        <v>1.3226936548370201</v>
      </c>
      <c r="D34" s="1">
        <v>5.23185824619687E-4</v>
      </c>
      <c r="E34" s="1">
        <v>-2.7904646141503798E-4</v>
      </c>
      <c r="F34" s="1">
        <v>2.4105463237479001</v>
      </c>
      <c r="G34" s="1">
        <v>44.628084464145999</v>
      </c>
      <c r="H34" s="1">
        <v>7.5215001461198105E-4</v>
      </c>
      <c r="I34" s="1">
        <v>7.1949995007469401E-3</v>
      </c>
    </row>
    <row r="35" spans="1:9" ht="45" x14ac:dyDescent="0.25">
      <c r="A35" s="1" t="s">
        <v>67</v>
      </c>
      <c r="B35" s="1">
        <v>0.323208332656931</v>
      </c>
      <c r="C35" s="1">
        <v>1.32221927000161</v>
      </c>
      <c r="D35" s="1">
        <v>4.5874364195926999E-4</v>
      </c>
      <c r="E35" s="1">
        <v>-2.4628230138025502E-4</v>
      </c>
      <c r="F35" s="1">
        <v>2.6072907634045199</v>
      </c>
      <c r="G35" s="1">
        <v>44.632925884139702</v>
      </c>
      <c r="H35" s="1">
        <v>7.5215001461198105E-4</v>
      </c>
      <c r="I35" s="1">
        <v>6.7707535855825096E-3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5" x14ac:dyDescent="0.25"/>
  <cols>
    <col min="15" max="15" width="11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5" x14ac:dyDescent="0.25">
      <c r="A2" s="1" t="s">
        <v>8</v>
      </c>
      <c r="B2" s="1">
        <v>11.1770115437445</v>
      </c>
      <c r="C2" s="1">
        <v>1.12784195318961</v>
      </c>
      <c r="D2" s="1">
        <v>-4.1998917780755899E-3</v>
      </c>
      <c r="E2" s="1">
        <v>1.85259652217641</v>
      </c>
      <c r="F2" s="1">
        <v>40.9793126635943</v>
      </c>
      <c r="G2" s="1">
        <v>2.2873004957014E-3</v>
      </c>
      <c r="H2" s="1">
        <v>5.8595883720595501E-2</v>
      </c>
      <c r="N2" t="s">
        <v>30</v>
      </c>
      <c r="O2" s="1">
        <f>AVERAGE(B2:B22)</f>
        <v>11.297513030926769</v>
      </c>
      <c r="P2" s="1">
        <f>AVERAGE(C2:C22)</f>
        <v>1.1290692665064548</v>
      </c>
      <c r="Q2" s="1">
        <f>AVERAGE(D2:D22)</f>
        <v>-4.1507106455018119E-3</v>
      </c>
      <c r="R2" s="1">
        <f t="shared" ref="R2:U2" si="0">AVERAGE(E2:E22)</f>
        <v>1.9497256529806766</v>
      </c>
      <c r="S2" s="1">
        <f t="shared" si="0"/>
        <v>42.484248821963725</v>
      </c>
      <c r="T2" s="1">
        <f>AVERAGE(G2:G22)</f>
        <v>2.2873004957014004E-3</v>
      </c>
      <c r="U2" s="1">
        <f t="shared" si="0"/>
        <v>5.8576110872212282E-2</v>
      </c>
      <c r="V2" s="1"/>
    </row>
    <row r="3" spans="1:22" ht="45" x14ac:dyDescent="0.25">
      <c r="A3" s="1" t="s">
        <v>9</v>
      </c>
      <c r="B3" s="1">
        <v>11.329302054832899</v>
      </c>
      <c r="C3" s="1">
        <v>1.1269301110215499</v>
      </c>
      <c r="D3" s="1">
        <v>-4.1163501732121802E-3</v>
      </c>
      <c r="E3" s="1">
        <v>1.85266885407253</v>
      </c>
      <c r="F3" s="1">
        <v>40.3795368314398</v>
      </c>
      <c r="G3" s="1">
        <v>2.2873004957014E-3</v>
      </c>
      <c r="H3" s="1">
        <v>5.9117241039108898E-2</v>
      </c>
      <c r="N3" t="s">
        <v>31</v>
      </c>
      <c r="O3" s="1">
        <f>_xlfn.STDEV.S(B2:B22)</f>
        <v>7.5288545569695872E-2</v>
      </c>
      <c r="P3" s="1">
        <f t="shared" ref="P3:U3" si="1">_xlfn.STDEV.S(C2:C22)</f>
        <v>1.6890742126044042E-3</v>
      </c>
      <c r="Q3" s="1">
        <f t="shared" si="1"/>
        <v>1.9992099240385337E-4</v>
      </c>
      <c r="R3" s="1">
        <f t="shared" si="1"/>
        <v>0.14960984234481575</v>
      </c>
      <c r="S3" s="1">
        <f t="shared" si="1"/>
        <v>1.6767947445274638</v>
      </c>
      <c r="T3" s="1">
        <f t="shared" si="1"/>
        <v>4.4439065127221605E-19</v>
      </c>
      <c r="U3" s="1">
        <f t="shared" si="1"/>
        <v>5.7444093586615352E-4</v>
      </c>
      <c r="V3" s="1"/>
    </row>
    <row r="4" spans="1:22" ht="45" x14ac:dyDescent="0.25">
      <c r="A4" s="1" t="s">
        <v>10</v>
      </c>
      <c r="B4" s="1">
        <v>11.3600930964895</v>
      </c>
      <c r="C4" s="1">
        <v>1.12787453618829</v>
      </c>
      <c r="D4" s="1">
        <v>-4.0918481616925599E-3</v>
      </c>
      <c r="E4" s="1">
        <v>1.8533848806020301</v>
      </c>
      <c r="F4" s="1">
        <v>40.737405401427303</v>
      </c>
      <c r="G4" s="1">
        <v>2.2873004957014E-3</v>
      </c>
      <c r="H4" s="1">
        <v>5.8048660407825803E-2</v>
      </c>
      <c r="N4" t="s">
        <v>32</v>
      </c>
      <c r="O4" s="1">
        <f>O3/O2</f>
        <v>6.6641698366352517E-3</v>
      </c>
      <c r="P4" s="1">
        <f t="shared" ref="P4:U4" si="2">P3/P2</f>
        <v>1.4959881228816957E-3</v>
      </c>
      <c r="Q4" s="1">
        <f t="shared" si="2"/>
        <v>-4.8165485257448813E-2</v>
      </c>
      <c r="R4" s="1">
        <f t="shared" si="2"/>
        <v>7.6733791811220795E-2</v>
      </c>
      <c r="S4" s="1">
        <f t="shared" si="2"/>
        <v>3.9468621689754013E-2</v>
      </c>
      <c r="T4" s="1">
        <f t="shared" si="2"/>
        <v>1.9428608182762786E-16</v>
      </c>
      <c r="U4" s="1">
        <f t="shared" si="2"/>
        <v>9.8067442053183587E-3</v>
      </c>
      <c r="V4" s="1"/>
    </row>
    <row r="5" spans="1:22" ht="45" x14ac:dyDescent="0.25">
      <c r="A5" s="1" t="s">
        <v>11</v>
      </c>
      <c r="B5" s="1">
        <v>11.3608067417883</v>
      </c>
      <c r="C5" s="1">
        <v>1.12822943190567</v>
      </c>
      <c r="D5" s="1">
        <v>-4.17712242965655E-3</v>
      </c>
      <c r="E5" s="1">
        <v>2.0530192568739598</v>
      </c>
      <c r="F5" s="1">
        <v>40.393685333745303</v>
      </c>
      <c r="G5" s="1">
        <v>2.2873004957014E-3</v>
      </c>
      <c r="H5" s="1">
        <v>5.7921437347126799E-2</v>
      </c>
      <c r="N5" t="s">
        <v>33</v>
      </c>
      <c r="O5" s="1">
        <f>O4/SQRT(COUNT(B2:B22)) * 100</f>
        <v>0.14542410819248827</v>
      </c>
      <c r="P5" s="1">
        <f t="shared" ref="P5:U5" si="3">P4/SQRT(COUNT(C2:C22)) * 100</f>
        <v>3.2645137199334616E-2</v>
      </c>
      <c r="Q5" s="1">
        <f t="shared" si="3"/>
        <v>-1.0510570575073275</v>
      </c>
      <c r="R5" s="1">
        <f t="shared" si="3"/>
        <v>1.6744686158852471</v>
      </c>
      <c r="S5" s="1">
        <f t="shared" si="3"/>
        <v>0.86127593556606497</v>
      </c>
      <c r="T5" s="1">
        <f t="shared" si="3"/>
        <v>4.239669887864233E-15</v>
      </c>
      <c r="U5" s="1">
        <f t="shared" si="3"/>
        <v>0.21400070305686159</v>
      </c>
      <c r="V5" s="1"/>
    </row>
    <row r="6" spans="1:22" ht="45" x14ac:dyDescent="0.25">
      <c r="A6" s="1" t="s">
        <v>12</v>
      </c>
      <c r="B6" s="1">
        <v>11.2077787773182</v>
      </c>
      <c r="C6" s="1">
        <v>1.1290258701795199</v>
      </c>
      <c r="D6" s="1">
        <v>-4.2643073660715899E-3</v>
      </c>
      <c r="E6" s="1">
        <v>2.0523048811093001</v>
      </c>
      <c r="F6" s="1">
        <v>40.393612101972003</v>
      </c>
      <c r="G6" s="1">
        <v>2.2873004957014E-3</v>
      </c>
      <c r="H6" s="1">
        <v>5.7118782522832E-2</v>
      </c>
    </row>
    <row r="7" spans="1:22" ht="45" x14ac:dyDescent="0.25">
      <c r="A7" s="1" t="s">
        <v>13</v>
      </c>
      <c r="B7" s="1">
        <v>11.3591768457862</v>
      </c>
      <c r="C7" s="1">
        <v>1.12678296831242</v>
      </c>
      <c r="D7" s="1">
        <v>-3.99244170271814E-3</v>
      </c>
      <c r="E7" s="1">
        <v>1.8520806559988601</v>
      </c>
      <c r="F7" s="1">
        <v>40.418976666667596</v>
      </c>
      <c r="G7" s="1">
        <v>2.2873004957014E-3</v>
      </c>
      <c r="H7" s="1">
        <v>5.8093074214184297E-2</v>
      </c>
    </row>
    <row r="8" spans="1:22" ht="45" x14ac:dyDescent="0.25">
      <c r="A8" s="1" t="s">
        <v>14</v>
      </c>
      <c r="B8" s="1">
        <v>11.3151694371932</v>
      </c>
      <c r="C8" s="1">
        <v>1.12895605165716</v>
      </c>
      <c r="D8" s="1">
        <v>-4.1332834903488299E-3</v>
      </c>
      <c r="E8" s="1">
        <v>2.0527336472124702</v>
      </c>
      <c r="F8" s="1">
        <v>43.372534491376598</v>
      </c>
      <c r="G8" s="1">
        <v>2.2873004957014E-3</v>
      </c>
      <c r="H8" s="1">
        <v>5.7560434872749297E-2</v>
      </c>
    </row>
    <row r="9" spans="1:22" ht="45" x14ac:dyDescent="0.25">
      <c r="A9" s="1" t="s">
        <v>15</v>
      </c>
      <c r="B9" s="1">
        <v>11.3416526476838</v>
      </c>
      <c r="C9" s="1">
        <v>1.1269274637756499</v>
      </c>
      <c r="D9" s="1">
        <v>-4.1081196089547602E-3</v>
      </c>
      <c r="E9" s="1">
        <v>1.8510397953145199</v>
      </c>
      <c r="F9" s="1">
        <v>40.410558666742901</v>
      </c>
      <c r="G9" s="1">
        <v>2.2873004957014E-3</v>
      </c>
      <c r="H9" s="1">
        <v>5.83142567843851E-2</v>
      </c>
    </row>
    <row r="10" spans="1:22" ht="45" x14ac:dyDescent="0.25">
      <c r="A10" s="1" t="s">
        <v>16</v>
      </c>
      <c r="B10" s="1">
        <v>11.2733188316857</v>
      </c>
      <c r="C10" s="1">
        <v>1.1319197664301499</v>
      </c>
      <c r="D10" s="1">
        <v>-3.9170690883616396E-3</v>
      </c>
      <c r="E10" s="1">
        <v>1.8518786512686001</v>
      </c>
      <c r="F10" s="1">
        <v>41.053596487270397</v>
      </c>
      <c r="G10" s="1">
        <v>2.2873004957014E-3</v>
      </c>
      <c r="H10" s="1">
        <v>5.9052317420837198E-2</v>
      </c>
    </row>
    <row r="11" spans="1:22" ht="45" x14ac:dyDescent="0.25">
      <c r="A11" s="1" t="s">
        <v>17</v>
      </c>
      <c r="B11" s="1">
        <v>11.3890419779139</v>
      </c>
      <c r="C11" s="1">
        <v>1.1326957368010899</v>
      </c>
      <c r="D11" s="1">
        <v>-4.82429119009266E-3</v>
      </c>
      <c r="E11" s="1">
        <v>1.8517700862812301</v>
      </c>
      <c r="F11" s="1">
        <v>43.090147463930798</v>
      </c>
      <c r="G11" s="1">
        <v>2.2873004957014E-3</v>
      </c>
      <c r="H11" s="1">
        <v>5.84112100186851E-2</v>
      </c>
    </row>
    <row r="12" spans="1:22" ht="45" x14ac:dyDescent="0.25">
      <c r="A12" s="1" t="s">
        <v>18</v>
      </c>
      <c r="B12" s="1">
        <v>11.293114778862501</v>
      </c>
      <c r="C12" s="1">
        <v>1.13180449458185</v>
      </c>
      <c r="D12" s="1">
        <v>-4.5169087808047898E-3</v>
      </c>
      <c r="E12" s="1">
        <v>2.1024384573629198</v>
      </c>
      <c r="F12" s="1">
        <v>44.450600660363797</v>
      </c>
      <c r="G12" s="1">
        <v>2.2873004957014E-3</v>
      </c>
      <c r="H12" s="1">
        <v>5.9033208704615897E-2</v>
      </c>
    </row>
    <row r="13" spans="1:22" ht="45" x14ac:dyDescent="0.25">
      <c r="A13" s="1" t="s">
        <v>19</v>
      </c>
      <c r="B13" s="1">
        <v>11.283064557196401</v>
      </c>
      <c r="C13" s="1">
        <v>1.1288110250929699</v>
      </c>
      <c r="D13" s="1">
        <v>-4.0776664192501899E-3</v>
      </c>
      <c r="E13" s="1">
        <v>1.8513347682616701</v>
      </c>
      <c r="F13" s="1">
        <v>43.013134284760199</v>
      </c>
      <c r="G13" s="1">
        <v>2.2873004957014E-3</v>
      </c>
      <c r="H13" s="1">
        <v>5.8782461248282999E-2</v>
      </c>
    </row>
    <row r="14" spans="1:22" ht="45" x14ac:dyDescent="0.25">
      <c r="A14" s="1" t="s">
        <v>20</v>
      </c>
      <c r="B14" s="1">
        <v>11.465869859655999</v>
      </c>
      <c r="C14" s="1">
        <v>1.1282238536438101</v>
      </c>
      <c r="D14" s="1">
        <v>-4.0490717575799697E-3</v>
      </c>
      <c r="E14" s="1">
        <v>1.85156083645114</v>
      </c>
      <c r="F14" s="1">
        <v>42.839894989920403</v>
      </c>
      <c r="G14" s="1">
        <v>2.2873004957014E-3</v>
      </c>
      <c r="H14" s="1">
        <v>5.9122161900452601E-2</v>
      </c>
    </row>
    <row r="15" spans="1:22" ht="45" x14ac:dyDescent="0.25">
      <c r="A15" s="1" t="s">
        <v>21</v>
      </c>
      <c r="B15" s="1">
        <v>11.213397155062999</v>
      </c>
      <c r="C15" s="1">
        <v>1.1282684415219899</v>
      </c>
      <c r="D15" s="1">
        <v>-3.8885079807161401E-3</v>
      </c>
      <c r="E15" s="1">
        <v>1.8526197731338401</v>
      </c>
      <c r="F15" s="1">
        <v>44.425156663188901</v>
      </c>
      <c r="G15" s="1">
        <v>2.2873004957014E-3</v>
      </c>
      <c r="H15" s="1">
        <v>5.8424956327953602E-2</v>
      </c>
    </row>
    <row r="16" spans="1:22" ht="45" x14ac:dyDescent="0.25">
      <c r="A16" s="1" t="s">
        <v>22</v>
      </c>
      <c r="B16" s="1">
        <v>11.371341530264001</v>
      </c>
      <c r="C16" s="1">
        <v>1.1270507565306001</v>
      </c>
      <c r="D16" s="1">
        <v>-4.1576311413219899E-3</v>
      </c>
      <c r="E16" s="1">
        <v>1.5517596888291201</v>
      </c>
      <c r="F16" s="1">
        <v>42.9824826868862</v>
      </c>
      <c r="G16" s="1">
        <v>2.2873004957014E-3</v>
      </c>
      <c r="H16" s="1">
        <v>5.8634524378735502E-2</v>
      </c>
    </row>
    <row r="17" spans="1:8" ht="45" x14ac:dyDescent="0.25">
      <c r="A17" s="1" t="s">
        <v>23</v>
      </c>
      <c r="B17" s="1">
        <v>11.2500539704759</v>
      </c>
      <c r="C17" s="1">
        <v>1.13072172909166</v>
      </c>
      <c r="D17" s="1">
        <v>-4.1601573359227699E-3</v>
      </c>
      <c r="E17" s="1">
        <v>2.1015435811243801</v>
      </c>
      <c r="F17" s="1">
        <v>44.225397364048099</v>
      </c>
      <c r="G17" s="1">
        <v>2.2873004957014E-3</v>
      </c>
      <c r="H17" s="1">
        <v>5.9345409350320497E-2</v>
      </c>
    </row>
    <row r="18" spans="1:8" ht="45" x14ac:dyDescent="0.25">
      <c r="A18" s="1" t="s">
        <v>24</v>
      </c>
      <c r="B18" s="1">
        <v>11.260353899465199</v>
      </c>
      <c r="C18" s="1">
        <v>1.1296046669895901</v>
      </c>
      <c r="D18" s="1">
        <v>-4.0351531890958896E-3</v>
      </c>
      <c r="E18" s="1">
        <v>2.1018229248848299</v>
      </c>
      <c r="F18" s="1">
        <v>44.466594665678201</v>
      </c>
      <c r="G18" s="1">
        <v>2.2873004957014E-3</v>
      </c>
      <c r="H18" s="1">
        <v>5.9156247281704301E-2</v>
      </c>
    </row>
    <row r="19" spans="1:8" ht="45" x14ac:dyDescent="0.25">
      <c r="A19" s="1" t="s">
        <v>25</v>
      </c>
      <c r="B19" s="1">
        <v>11.259822883760901</v>
      </c>
      <c r="C19" s="1">
        <v>1.12975050351766</v>
      </c>
      <c r="D19" s="1">
        <v>-4.0533991489610901E-3</v>
      </c>
      <c r="E19" s="1">
        <v>2.1019624247308801</v>
      </c>
      <c r="F19" s="1">
        <v>44.488971995712397</v>
      </c>
      <c r="G19" s="1">
        <v>2.2873004957014E-3</v>
      </c>
      <c r="H19" s="1">
        <v>5.9030370984156103E-2</v>
      </c>
    </row>
    <row r="20" spans="1:8" ht="45" x14ac:dyDescent="0.25">
      <c r="A20" s="1" t="s">
        <v>26</v>
      </c>
      <c r="B20" s="1">
        <v>11.1846809114396</v>
      </c>
      <c r="C20" s="1">
        <v>1.1299077665031301</v>
      </c>
      <c r="D20" s="1">
        <v>-4.1312560963690896E-3</v>
      </c>
      <c r="E20" s="1">
        <v>2.1027314463315498</v>
      </c>
      <c r="F20" s="1">
        <v>43.922209192830302</v>
      </c>
      <c r="G20" s="1">
        <v>2.2873004957014E-3</v>
      </c>
      <c r="H20" s="1">
        <v>5.8694922739556503E-2</v>
      </c>
    </row>
    <row r="21" spans="1:8" ht="45" x14ac:dyDescent="0.25">
      <c r="A21" s="1" t="s">
        <v>27</v>
      </c>
      <c r="B21" s="1">
        <v>11.335767756404501</v>
      </c>
      <c r="C21" s="1">
        <v>1.1297718137100801</v>
      </c>
      <c r="D21" s="1">
        <v>-4.1564430320201002E-3</v>
      </c>
      <c r="E21" s="1">
        <v>2.1015748427013001</v>
      </c>
      <c r="F21" s="1">
        <v>41.653498650718603</v>
      </c>
      <c r="G21" s="1">
        <v>2.2873004957014E-3</v>
      </c>
      <c r="H21" s="1">
        <v>5.8671660122002797E-2</v>
      </c>
    </row>
    <row r="22" spans="1:8" ht="45" x14ac:dyDescent="0.25">
      <c r="A22" s="1" t="s">
        <v>28</v>
      </c>
      <c r="B22" s="1">
        <v>11.2169543924379</v>
      </c>
      <c r="C22" s="1">
        <v>1.1293556559911</v>
      </c>
      <c r="D22" s="1">
        <v>-4.11400368431151E-3</v>
      </c>
      <c r="E22" s="1">
        <v>2.1014127378726699</v>
      </c>
      <c r="F22" s="1">
        <v>44.471917998964202</v>
      </c>
      <c r="G22" s="1">
        <v>2.2873004957014E-3</v>
      </c>
      <c r="H22" s="1">
        <v>5.89691069303468E-2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D22"/>
  <sheetViews>
    <sheetView workbookViewId="0">
      <selection activeCell="W5" sqref="W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ht="45" x14ac:dyDescent="0.25">
      <c r="A2" s="1" t="s">
        <v>8</v>
      </c>
      <c r="B2" s="1">
        <v>0.21555583151480401</v>
      </c>
      <c r="C2" s="1" t="s">
        <v>8</v>
      </c>
      <c r="D2" s="1">
        <v>11.1770115437445</v>
      </c>
    </row>
    <row r="3" spans="1:4" ht="45" x14ac:dyDescent="0.25">
      <c r="A3" s="1" t="s">
        <v>9</v>
      </c>
      <c r="B3" s="1">
        <v>0.20952097494967001</v>
      </c>
      <c r="C3" s="1" t="s">
        <v>9</v>
      </c>
      <c r="D3" s="1">
        <v>11.329302054832899</v>
      </c>
    </row>
    <row r="4" spans="1:4" ht="45" x14ac:dyDescent="0.25">
      <c r="A4" s="1" t="s">
        <v>10</v>
      </c>
      <c r="B4" s="1">
        <v>0.20662316739085199</v>
      </c>
      <c r="C4" s="1" t="s">
        <v>10</v>
      </c>
      <c r="D4" s="1">
        <v>11.3600930964895</v>
      </c>
    </row>
    <row r="5" spans="1:4" ht="45" x14ac:dyDescent="0.25">
      <c r="A5" s="1" t="s">
        <v>11</v>
      </c>
      <c r="B5" s="1">
        <v>0.20770262378267801</v>
      </c>
      <c r="C5" s="1" t="s">
        <v>11</v>
      </c>
      <c r="D5" s="1">
        <v>11.3608067417883</v>
      </c>
    </row>
    <row r="6" spans="1:4" ht="45" x14ac:dyDescent="0.25">
      <c r="A6" s="1" t="s">
        <v>12</v>
      </c>
      <c r="B6" s="1">
        <v>0.209595431054375</v>
      </c>
      <c r="C6" s="1" t="s">
        <v>12</v>
      </c>
      <c r="D6" s="1">
        <v>11.2077787773182</v>
      </c>
    </row>
    <row r="7" spans="1:4" ht="45" x14ac:dyDescent="0.25">
      <c r="A7" s="1" t="s">
        <v>13</v>
      </c>
      <c r="B7" s="1">
        <v>0.20538693458861701</v>
      </c>
      <c r="C7" s="1" t="s">
        <v>13</v>
      </c>
      <c r="D7" s="1">
        <v>11.3591768457862</v>
      </c>
    </row>
    <row r="8" spans="1:4" ht="45" x14ac:dyDescent="0.25">
      <c r="A8" s="1" t="s">
        <v>14</v>
      </c>
      <c r="B8" s="1">
        <v>0.20579809973947</v>
      </c>
      <c r="C8" s="1" t="s">
        <v>14</v>
      </c>
      <c r="D8" s="1">
        <v>11.3151694371932</v>
      </c>
    </row>
    <row r="9" spans="1:4" ht="45" x14ac:dyDescent="0.25">
      <c r="A9" s="1" t="s">
        <v>15</v>
      </c>
      <c r="B9" s="1">
        <v>0.210070324599267</v>
      </c>
      <c r="C9" s="1" t="s">
        <v>15</v>
      </c>
      <c r="D9" s="1">
        <v>11.3416526476838</v>
      </c>
    </row>
    <row r="10" spans="1:4" ht="45" x14ac:dyDescent="0.25">
      <c r="A10" s="1" t="s">
        <v>16</v>
      </c>
      <c r="B10" s="1">
        <v>0.21275673115754801</v>
      </c>
      <c r="C10" s="1" t="s">
        <v>16</v>
      </c>
      <c r="D10" s="1">
        <v>11.2733188316857</v>
      </c>
    </row>
    <row r="11" spans="1:4" ht="45" x14ac:dyDescent="0.25">
      <c r="A11" s="1" t="s">
        <v>17</v>
      </c>
      <c r="B11" s="1">
        <v>0.21652324403034801</v>
      </c>
      <c r="C11" s="1" t="s">
        <v>17</v>
      </c>
      <c r="D11" s="1">
        <v>11.3890419779139</v>
      </c>
    </row>
    <row r="12" spans="1:4" ht="45" x14ac:dyDescent="0.25">
      <c r="A12" s="1" t="s">
        <v>18</v>
      </c>
      <c r="B12" s="1">
        <v>0.21641690962021001</v>
      </c>
      <c r="C12" s="1" t="s">
        <v>18</v>
      </c>
      <c r="D12" s="1">
        <v>11.293114778862501</v>
      </c>
    </row>
    <row r="13" spans="1:4" ht="45" x14ac:dyDescent="0.25">
      <c r="A13" s="1" t="s">
        <v>19</v>
      </c>
      <c r="B13" s="1">
        <v>0.21275343465184901</v>
      </c>
      <c r="C13" s="1" t="s">
        <v>19</v>
      </c>
      <c r="D13" s="1">
        <v>11.283064557196401</v>
      </c>
    </row>
    <row r="14" spans="1:4" ht="45" x14ac:dyDescent="0.25">
      <c r="A14" s="1" t="s">
        <v>20</v>
      </c>
      <c r="B14" s="1">
        <v>0.208884934485742</v>
      </c>
      <c r="C14" s="1" t="s">
        <v>20</v>
      </c>
      <c r="D14" s="1">
        <v>11.465869859655999</v>
      </c>
    </row>
    <row r="15" spans="1:4" ht="45" x14ac:dyDescent="0.25">
      <c r="A15" s="1" t="s">
        <v>21</v>
      </c>
      <c r="B15" s="1">
        <v>0.21116438224453701</v>
      </c>
      <c r="C15" s="1" t="s">
        <v>21</v>
      </c>
      <c r="D15" s="1">
        <v>11.213397155062999</v>
      </c>
    </row>
    <row r="16" spans="1:4" ht="45" x14ac:dyDescent="0.25">
      <c r="A16" s="1" t="s">
        <v>22</v>
      </c>
      <c r="B16" s="1">
        <v>0.21223952305306101</v>
      </c>
      <c r="C16" s="1" t="s">
        <v>22</v>
      </c>
      <c r="D16" s="1">
        <v>11.371341530264001</v>
      </c>
    </row>
    <row r="17" spans="1:4" ht="45" x14ac:dyDescent="0.25">
      <c r="A17" s="1" t="s">
        <v>23</v>
      </c>
      <c r="B17" s="1">
        <v>0.21832353710526101</v>
      </c>
      <c r="C17" s="1" t="s">
        <v>23</v>
      </c>
      <c r="D17" s="1">
        <v>11.2500539704759</v>
      </c>
    </row>
    <row r="18" spans="1:4" ht="45" x14ac:dyDescent="0.25">
      <c r="A18" s="1" t="s">
        <v>24</v>
      </c>
      <c r="B18" s="1">
        <v>0.20530572750096901</v>
      </c>
      <c r="C18" s="1" t="s">
        <v>24</v>
      </c>
      <c r="D18" s="1">
        <v>11.260353899465199</v>
      </c>
    </row>
    <row r="19" spans="1:4" ht="45" x14ac:dyDescent="0.25">
      <c r="A19" s="1" t="s">
        <v>25</v>
      </c>
      <c r="B19" s="1">
        <v>0.21753519420846301</v>
      </c>
      <c r="C19" s="1" t="s">
        <v>25</v>
      </c>
      <c r="D19" s="1">
        <v>11.259822883760901</v>
      </c>
    </row>
    <row r="20" spans="1:4" ht="45" x14ac:dyDescent="0.25">
      <c r="A20" s="1" t="s">
        <v>26</v>
      </c>
      <c r="B20" s="1">
        <v>0.21592303126088699</v>
      </c>
      <c r="C20" s="1" t="s">
        <v>26</v>
      </c>
      <c r="D20" s="1">
        <v>11.1846809114396</v>
      </c>
    </row>
    <row r="21" spans="1:4" ht="45" x14ac:dyDescent="0.25">
      <c r="A21" s="1" t="s">
        <v>27</v>
      </c>
      <c r="B21" s="1">
        <v>0.211655607306068</v>
      </c>
      <c r="C21" s="1" t="s">
        <v>27</v>
      </c>
      <c r="D21" s="1">
        <v>11.335767756404501</v>
      </c>
    </row>
    <row r="22" spans="1:4" ht="45" x14ac:dyDescent="0.25">
      <c r="A22" s="1" t="s">
        <v>28</v>
      </c>
      <c r="B22" s="1">
        <v>0.21236601376132699</v>
      </c>
      <c r="C22" s="1" t="s">
        <v>28</v>
      </c>
      <c r="D22" s="1">
        <v>11.2169543924379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2026-05-11T23:32:14Z</dcterms:modified>
</cp:coreProperties>
</file>