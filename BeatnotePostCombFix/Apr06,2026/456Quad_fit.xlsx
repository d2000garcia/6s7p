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Apr06,2026\"/>
    </mc:Choice>
  </mc:AlternateContent>
  <xr:revisionPtr revIDLastSave="0" documentId="13_ncr:1_{6D6D7122-23FE-4C73-86A2-D376424E4C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Q2" i="1" l="1"/>
  <c r="R2" i="1"/>
  <c r="S2" i="1"/>
  <c r="T2" i="1"/>
  <c r="U2" i="1"/>
  <c r="V2" i="1"/>
  <c r="V4" i="1" s="1"/>
  <c r="V5" i="1" s="1"/>
  <c r="W2" i="1"/>
  <c r="W4" i="1" s="1"/>
  <c r="W5" i="1" s="1"/>
  <c r="Q3" i="1"/>
  <c r="Q4" i="1" s="1"/>
  <c r="Q5" i="1" s="1"/>
  <c r="R3" i="1"/>
  <c r="R4" i="1" s="1"/>
  <c r="R5" i="1" s="1"/>
  <c r="S3" i="1"/>
  <c r="S4" i="1" s="1"/>
  <c r="S5" i="1" s="1"/>
  <c r="T3" i="1"/>
  <c r="T4" i="1" s="1"/>
  <c r="T5" i="1" s="1"/>
  <c r="U3" i="1"/>
  <c r="U4" i="1" s="1"/>
  <c r="U5" i="1" s="1"/>
  <c r="W3" i="1"/>
  <c r="P3" i="1"/>
  <c r="P2" i="1"/>
  <c r="P4" i="1" l="1"/>
</calcChain>
</file>

<file path=xl/sharedStrings.xml><?xml version="1.0" encoding="utf-8"?>
<sst xmlns="http://schemas.openxmlformats.org/spreadsheetml/2006/main" count="40" uniqueCount="32">
  <si>
    <t>Date</t>
  </si>
  <si>
    <t>Alpha</t>
  </si>
  <si>
    <t>P0</t>
  </si>
  <si>
    <t>h1</t>
  </si>
  <si>
    <t>mv</t>
  </si>
  <si>
    <t>T</t>
  </si>
  <si>
    <t>gamma</t>
  </si>
  <si>
    <t>offset</t>
  </si>
  <si>
    <t>Apr06,2026+2-17-57PM</t>
  </si>
  <si>
    <t>Apr06,2026+2-27-58PM</t>
  </si>
  <si>
    <t>Apr06,2026+2-36-21PM</t>
  </si>
  <si>
    <t>Apr06,2026+2-44-24PM</t>
  </si>
  <si>
    <t>Apr06,2026+5-03-59PM</t>
  </si>
  <si>
    <t>Apr06,2026+5-12-46PM</t>
  </si>
  <si>
    <t>Apr06,2026+5-27-52PM</t>
  </si>
  <si>
    <t>Apr06,2026+5-35-52PM</t>
  </si>
  <si>
    <t>Apr06,2026+6-03-01PM</t>
  </si>
  <si>
    <t>Apr06,2026+7-34-24PM</t>
  </si>
  <si>
    <t>Apr06,2026+7-42-35PM</t>
  </si>
  <si>
    <t>Apr06,2026+3-42-35PM</t>
  </si>
  <si>
    <t>Apr06,2026+3-49-52PM</t>
  </si>
  <si>
    <t>Apr06,2026+3-57-34PM</t>
  </si>
  <si>
    <t>Apr06,2026+4-04-50PM</t>
  </si>
  <si>
    <t>Apr06,2026+4-12-05PM</t>
  </si>
  <si>
    <t>Apr06,2026+4-24-01PM</t>
  </si>
  <si>
    <t>Apr06,2026+4-48-08PM</t>
  </si>
  <si>
    <t>Apr06,2026+4-55-13PM</t>
  </si>
  <si>
    <t>mean</t>
  </si>
  <si>
    <t>std</t>
  </si>
  <si>
    <t>std/mean</t>
  </si>
  <si>
    <t>h2</t>
  </si>
  <si>
    <t>100*std/mean/sqrt(n)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</si>
</sst>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Sheet1!$B$2:$B$22</c:f>
              <c:numCache>
                <c:formatCode>General</c:formatCode>
                <c:ptCount val="21"/>
                <c:pt idx="0">
                  <c:v>0.18709784436360999</c:v>
                </c:pt>
                <c:pt idx="1">
                  <c:v>0.182062561992865</c:v>
                </c:pt>
                <c:pt idx="2">
                  <c:v>0.18300790529903599</c:v>
                </c:pt>
                <c:pt idx="3">
                  <c:v>0.18542828335339201</c:v>
                </c:pt>
                <c:pt idx="4">
                  <c:v>0.17820611212962301</c:v>
                </c:pt>
                <c:pt idx="5">
                  <c:v>0.18269367018010399</c:v>
                </c:pt>
                <c:pt idx="6">
                  <c:v>0.184059854518271</c:v>
                </c:pt>
                <c:pt idx="7">
                  <c:v>0.18187437151116301</c:v>
                </c:pt>
                <c:pt idx="8">
                  <c:v>0.18158579062830699</c:v>
                </c:pt>
                <c:pt idx="9">
                  <c:v>0.18238164023953901</c:v>
                </c:pt>
                <c:pt idx="10">
                  <c:v>0.183302795041484</c:v>
                </c:pt>
                <c:pt idx="11">
                  <c:v>0.186980807885406</c:v>
                </c:pt>
                <c:pt idx="13">
                  <c:v>0.18110325820647299</c:v>
                </c:pt>
                <c:pt idx="14">
                  <c:v>0.18221791853755001</c:v>
                </c:pt>
                <c:pt idx="15">
                  <c:v>0.18189745497010401</c:v>
                </c:pt>
                <c:pt idx="16">
                  <c:v>0.184062040242048</c:v>
                </c:pt>
                <c:pt idx="17">
                  <c:v>0.180025762751445</c:v>
                </c:pt>
                <c:pt idx="18">
                  <c:v>0.18513813740551099</c:v>
                </c:pt>
                <c:pt idx="19">
                  <c:v>0.182873258171592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8-4F68-8249-ADBE9101B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240783"/>
        <c:axId val="1873237903"/>
      </c:scatterChart>
      <c:valAx>
        <c:axId val="187324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37903"/>
        <c:crosses val="autoZero"/>
        <c:crossBetween val="midCat"/>
      </c:valAx>
      <c:valAx>
        <c:axId val="18732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4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</xdr:row>
      <xdr:rowOff>561975</xdr:rowOff>
    </xdr:from>
    <xdr:to>
      <xdr:col>23</xdr:col>
      <xdr:colOff>0</xdr:colOff>
      <xdr:row>14</xdr:row>
      <xdr:rowOff>323850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B04B3-FFBA-36F0-017A-0A7F75B7D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activeCell="P5" sqref="P5"/>
    </sheetView>
  </sheetViews>
  <sheetFormatPr defaultRowHeight="15" x14ac:dyDescent="0.25"/>
  <cols>
    <col min="15" max="15" width="23.5703125" customWidth="1"/>
    <col min="16" max="16" width="11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4</v>
      </c>
      <c r="G1" s="1" t="s">
        <v>5</v>
      </c>
      <c r="H1" s="1" t="s">
        <v>6</v>
      </c>
      <c r="I1" s="1" t="s">
        <v>7</v>
      </c>
      <c r="P1" s="1" t="s">
        <v>1</v>
      </c>
      <c r="Q1" s="1" t="s">
        <v>2</v>
      </c>
      <c r="R1" s="1" t="s">
        <v>3</v>
      </c>
      <c r="S1" s="1" t="s">
        <v>30</v>
      </c>
      <c r="T1" s="1" t="s">
        <v>4</v>
      </c>
      <c r="U1" s="1" t="s">
        <v>5</v>
      </c>
      <c r="V1" s="1" t="s">
        <v>6</v>
      </c>
      <c r="W1" s="1" t="s">
        <v>7</v>
      </c>
      <c r="X1" s="1"/>
    </row>
    <row r="2" spans="1:24" ht="45" x14ac:dyDescent="0.25">
      <c r="A2" s="1" t="s">
        <v>8</v>
      </c>
      <c r="B2" s="1">
        <v>0.18709784436360999</v>
      </c>
      <c r="C2" s="1">
        <v>1.3322271119521401</v>
      </c>
      <c r="D2" s="1">
        <v>-2.5871169170551498E-4</v>
      </c>
      <c r="E2" s="1">
        <v>-1.5153366116563201E-4</v>
      </c>
      <c r="F2" s="1">
        <v>3.40018593182061</v>
      </c>
      <c r="G2" s="1">
        <v>44.310397367864802</v>
      </c>
      <c r="H2" s="1">
        <v>7.5215001461198105E-4</v>
      </c>
      <c r="I2" s="1">
        <v>6.7351546757008799E-3</v>
      </c>
      <c r="O2" t="s">
        <v>27</v>
      </c>
      <c r="P2" s="1">
        <f>AVERAGE(B2:B22)</f>
        <v>0.18294734039092225</v>
      </c>
      <c r="Q2" s="1">
        <f t="shared" ref="Q2:W2" si="0">AVERAGE(C2:C22)</f>
        <v>1.3298830299073778</v>
      </c>
      <c r="R2" s="1">
        <f t="shared" si="0"/>
        <v>1.9641689197293384E-4</v>
      </c>
      <c r="S2" s="1">
        <f t="shared" si="0"/>
        <v>-2.406690132565138E-4</v>
      </c>
      <c r="T2" s="1">
        <f t="shared" si="0"/>
        <v>2.9204829485196968</v>
      </c>
      <c r="U2" s="1">
        <f t="shared" si="0"/>
        <v>42.309514451961491</v>
      </c>
      <c r="V2" s="1">
        <f t="shared" si="0"/>
        <v>7.5215001461198137E-4</v>
      </c>
      <c r="W2" s="1">
        <f t="shared" si="0"/>
        <v>6.860930773074164E-3</v>
      </c>
      <c r="X2" s="1"/>
    </row>
    <row r="3" spans="1:24" ht="45" x14ac:dyDescent="0.25">
      <c r="A3" s="1" t="s">
        <v>9</v>
      </c>
      <c r="B3" s="1">
        <v>0.182062561992865</v>
      </c>
      <c r="C3" s="1">
        <v>1.3309161746751099</v>
      </c>
      <c r="D3" s="1">
        <v>-2.84987731533243E-4</v>
      </c>
      <c r="E3" s="1">
        <v>-1.50079002796277E-4</v>
      </c>
      <c r="F3" s="1">
        <v>3.1383825120767201</v>
      </c>
      <c r="G3" s="1">
        <v>40.378374585231903</v>
      </c>
      <c r="H3" s="1">
        <v>7.5215001461198105E-4</v>
      </c>
      <c r="I3" s="1">
        <v>7.56590628428462E-3</v>
      </c>
      <c r="O3" t="s">
        <v>28</v>
      </c>
      <c r="P3" s="1">
        <f>_xlfn.STDEV.S(B2:B22)</f>
        <v>2.2021208795305301E-3</v>
      </c>
      <c r="Q3" s="1">
        <f t="shared" ref="Q3:W3" si="1">_xlfn.STDEV.S(C2:C22)</f>
        <v>1.5093569546422382E-3</v>
      </c>
      <c r="R3" s="1">
        <f t="shared" si="1"/>
        <v>5.2616911527482121E-4</v>
      </c>
      <c r="S3" s="1">
        <f t="shared" si="1"/>
        <v>8.0335713915932646E-5</v>
      </c>
      <c r="T3" s="1">
        <f t="shared" si="1"/>
        <v>0.47005614267516393</v>
      </c>
      <c r="U3" s="1">
        <f t="shared" si="1"/>
        <v>1.8294651351078743</v>
      </c>
      <c r="V3" s="1">
        <v>0</v>
      </c>
      <c r="W3" s="1">
        <f t="shared" si="1"/>
        <v>7.6374235002039438E-4</v>
      </c>
      <c r="X3" s="1"/>
    </row>
    <row r="4" spans="1:24" ht="45" x14ac:dyDescent="0.25">
      <c r="A4" s="1" t="s">
        <v>10</v>
      </c>
      <c r="B4" s="1">
        <v>0.18300790529903599</v>
      </c>
      <c r="C4" s="1">
        <v>1.329865388113</v>
      </c>
      <c r="D4" s="1">
        <v>-2.43960464747295E-4</v>
      </c>
      <c r="E4" s="1">
        <v>-1.4904461717444599E-4</v>
      </c>
      <c r="F4" s="1">
        <v>3.4041242910053899</v>
      </c>
      <c r="G4" s="1">
        <v>42.681580232725203</v>
      </c>
      <c r="H4" s="1">
        <v>7.5215001461198105E-4</v>
      </c>
      <c r="I4" s="1">
        <v>7.6309500096276399E-3</v>
      </c>
      <c r="O4" t="s">
        <v>29</v>
      </c>
      <c r="P4" s="1">
        <f>P3/P2</f>
        <v>1.2036911139703009E-2</v>
      </c>
      <c r="Q4" s="1">
        <f t="shared" ref="Q4:W4" si="2">Q3/Q2</f>
        <v>1.1349546694699609E-3</v>
      </c>
      <c r="R4" s="1">
        <f t="shared" si="2"/>
        <v>2.6788384134869982</v>
      </c>
      <c r="S4" s="1">
        <f t="shared" si="2"/>
        <v>-0.33380165077715224</v>
      </c>
      <c r="T4" s="1">
        <f t="shared" si="2"/>
        <v>0.16095151074702249</v>
      </c>
      <c r="U4" s="1">
        <f t="shared" si="2"/>
        <v>4.3240040893994691E-2</v>
      </c>
      <c r="V4" s="1">
        <f t="shared" si="2"/>
        <v>0</v>
      </c>
      <c r="W4" s="1">
        <f t="shared" si="2"/>
        <v>0.11131760037832095</v>
      </c>
      <c r="X4" s="1"/>
    </row>
    <row r="5" spans="1:24" ht="45" x14ac:dyDescent="0.25">
      <c r="A5" s="1" t="s">
        <v>11</v>
      </c>
      <c r="B5" s="1">
        <v>0.18542828335339201</v>
      </c>
      <c r="C5" s="1">
        <v>1.32860283931444</v>
      </c>
      <c r="D5" s="1">
        <v>2.6884222958364201E-4</v>
      </c>
      <c r="E5" s="1">
        <v>-2.5381674654101301E-4</v>
      </c>
      <c r="F5" s="1">
        <v>3.1461301943306501</v>
      </c>
      <c r="G5" s="1">
        <v>44.283230951359698</v>
      </c>
      <c r="H5" s="1">
        <v>7.5215001461198105E-4</v>
      </c>
      <c r="I5" s="1">
        <v>7.6003569767388E-3</v>
      </c>
      <c r="O5" t="s">
        <v>31</v>
      </c>
      <c r="P5" s="1">
        <f>P4/SQRT(COUNT(B2:B22)) * 100</f>
        <v>0.27614568026497055</v>
      </c>
      <c r="Q5" s="1">
        <f t="shared" ref="Q5:W5" si="3">Q4/COUNT(C2:C22) * 100</f>
        <v>5.973445628789268E-3</v>
      </c>
      <c r="R5" s="1">
        <f t="shared" si="3"/>
        <v>14.099149544668412</v>
      </c>
      <c r="S5" s="1">
        <f t="shared" si="3"/>
        <v>-1.756850793563959</v>
      </c>
      <c r="T5" s="1">
        <f t="shared" si="3"/>
        <v>0.84711321445801313</v>
      </c>
      <c r="U5" s="1">
        <f t="shared" si="3"/>
        <v>0.22757916259997205</v>
      </c>
      <c r="V5" s="1">
        <f t="shared" si="3"/>
        <v>0</v>
      </c>
      <c r="W5" s="1">
        <f t="shared" si="3"/>
        <v>0.58588210725432077</v>
      </c>
      <c r="X5" s="1"/>
    </row>
    <row r="6" spans="1:24" ht="45" x14ac:dyDescent="0.25">
      <c r="A6" s="1" t="s">
        <v>19</v>
      </c>
      <c r="B6" s="1">
        <v>0.17820611212962301</v>
      </c>
      <c r="C6" s="1">
        <v>1.33066965734711</v>
      </c>
      <c r="D6" s="1">
        <v>6.1209502623091902E-4</v>
      </c>
      <c r="E6" s="1">
        <v>-3.1325423053619398E-4</v>
      </c>
      <c r="F6" s="1">
        <v>2.8997977394360501</v>
      </c>
      <c r="G6" s="1">
        <v>40.342395355670398</v>
      </c>
      <c r="H6" s="1">
        <v>7.5215001461198105E-4</v>
      </c>
      <c r="I6" s="1">
        <v>6.5353645471448799E-3</v>
      </c>
    </row>
    <row r="7" spans="1:24" ht="45" x14ac:dyDescent="0.25">
      <c r="A7" s="1" t="s">
        <v>20</v>
      </c>
      <c r="B7" s="1">
        <v>0.18269367018010399</v>
      </c>
      <c r="C7" s="1">
        <v>1.3295994960658399</v>
      </c>
      <c r="D7" s="1">
        <v>1.16649240507941E-3</v>
      </c>
      <c r="E7" s="1">
        <v>-3.4862156063490701E-4</v>
      </c>
      <c r="F7" s="1">
        <v>3.35015238671817</v>
      </c>
      <c r="G7" s="1">
        <v>43.891244742156097</v>
      </c>
      <c r="H7" s="1">
        <v>7.5215001461198105E-4</v>
      </c>
      <c r="I7" s="1">
        <v>6.0453225617137204E-3</v>
      </c>
    </row>
    <row r="8" spans="1:24" ht="45" x14ac:dyDescent="0.25">
      <c r="A8" s="1" t="s">
        <v>21</v>
      </c>
      <c r="B8" s="1">
        <v>0.184059854518271</v>
      </c>
      <c r="C8" s="1">
        <v>1.3308217707257599</v>
      </c>
      <c r="D8" s="1">
        <v>-1.88233667498521E-4</v>
      </c>
      <c r="E8" s="1">
        <v>-2.0591670287136899E-4</v>
      </c>
      <c r="F8" s="1">
        <v>2.39773584464518</v>
      </c>
      <c r="G8" s="1">
        <v>40.387320145321702</v>
      </c>
      <c r="H8" s="1">
        <v>7.5215001461198105E-4</v>
      </c>
      <c r="I8" s="1">
        <v>6.3505393389513597E-3</v>
      </c>
    </row>
    <row r="9" spans="1:24" ht="45" x14ac:dyDescent="0.25">
      <c r="A9" s="1" t="s">
        <v>22</v>
      </c>
      <c r="B9" s="1">
        <v>0.18187437151116301</v>
      </c>
      <c r="C9" s="1">
        <v>1.3303070514606401</v>
      </c>
      <c r="D9" s="2">
        <v>4.5975413008572498E-5</v>
      </c>
      <c r="E9" s="1">
        <v>-2.30508471321344E-4</v>
      </c>
      <c r="F9" s="1">
        <v>2.6459600536419901</v>
      </c>
      <c r="G9" s="1">
        <v>40.430743787393297</v>
      </c>
      <c r="H9" s="1">
        <v>7.5215001461198105E-4</v>
      </c>
      <c r="I9" s="1">
        <v>6.7569254269072903E-3</v>
      </c>
    </row>
    <row r="10" spans="1:24" ht="45" x14ac:dyDescent="0.25">
      <c r="A10" s="1" t="s">
        <v>23</v>
      </c>
      <c r="B10" s="1">
        <v>0.18158579062830699</v>
      </c>
      <c r="C10" s="1">
        <v>1.3291905899116201</v>
      </c>
      <c r="D10" s="1">
        <v>1.3794771593171899E-4</v>
      </c>
      <c r="E10" s="1">
        <v>-1.97187313180795E-4</v>
      </c>
      <c r="F10" s="1">
        <v>3.3900135378968499</v>
      </c>
      <c r="G10" s="1">
        <v>40.603355109331503</v>
      </c>
      <c r="H10" s="1">
        <v>7.5215001461198105E-4</v>
      </c>
      <c r="I10" s="1">
        <v>7.8301685001272402E-3</v>
      </c>
    </row>
    <row r="11" spans="1:24" ht="45" x14ac:dyDescent="0.25">
      <c r="A11" s="1" t="s">
        <v>24</v>
      </c>
      <c r="B11" s="1">
        <v>0.18238164023953901</v>
      </c>
      <c r="C11" s="1">
        <v>1.33090091924622</v>
      </c>
      <c r="D11" s="1">
        <v>1.9434033620930501E-4</v>
      </c>
      <c r="E11" s="1">
        <v>-2.4891781622763803E-4</v>
      </c>
      <c r="F11" s="1">
        <v>2.6530536956391901</v>
      </c>
      <c r="G11" s="1">
        <v>44.255871321421701</v>
      </c>
      <c r="H11" s="1">
        <v>7.5215001461198105E-4</v>
      </c>
      <c r="I11" s="1">
        <v>6.7890161662815703E-3</v>
      </c>
    </row>
    <row r="12" spans="1:24" ht="45" x14ac:dyDescent="0.25">
      <c r="A12" s="1" t="s">
        <v>25</v>
      </c>
      <c r="B12" s="1">
        <v>0.183302795041484</v>
      </c>
      <c r="C12" s="1">
        <v>1.33359434431913</v>
      </c>
      <c r="D12" s="2">
        <v>5.9704082059407198E-5</v>
      </c>
      <c r="E12" s="1">
        <v>-2.9614410978437899E-4</v>
      </c>
      <c r="F12" s="1">
        <v>2.39461855236125</v>
      </c>
      <c r="G12" s="1">
        <v>44.417509788914202</v>
      </c>
      <c r="H12" s="1">
        <v>7.5215001461198105E-4</v>
      </c>
      <c r="I12" s="1">
        <v>5.2392815033215001E-3</v>
      </c>
    </row>
    <row r="13" spans="1:24" ht="45" x14ac:dyDescent="0.25">
      <c r="A13" s="1" t="s">
        <v>26</v>
      </c>
      <c r="B13" s="1">
        <v>0.186980807885406</v>
      </c>
      <c r="C13" s="1">
        <v>1.32902750620871</v>
      </c>
      <c r="D13" s="1">
        <v>1.25276781453186E-3</v>
      </c>
      <c r="E13" s="1">
        <v>-4.15677505131206E-4</v>
      </c>
      <c r="F13" s="1">
        <v>2.9034109287382299</v>
      </c>
      <c r="G13" s="1">
        <v>44.405805748010302</v>
      </c>
      <c r="H13" s="1">
        <v>7.5215001461198105E-4</v>
      </c>
      <c r="I13" s="1">
        <v>7.5602886495809403E-3</v>
      </c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24" ht="45" x14ac:dyDescent="0.25">
      <c r="A15" s="1" t="s">
        <v>12</v>
      </c>
      <c r="B15" s="1">
        <v>0.18110325820647299</v>
      </c>
      <c r="C15" s="1">
        <v>1.3280117156865801</v>
      </c>
      <c r="D15" s="1">
        <v>1.0554048359570701E-3</v>
      </c>
      <c r="E15" s="1">
        <v>-3.5831966332869098E-4</v>
      </c>
      <c r="F15" s="1">
        <v>2.9022829955347298</v>
      </c>
      <c r="G15" s="1">
        <v>40.394869752424199</v>
      </c>
      <c r="H15" s="1">
        <v>7.5215001461198105E-4</v>
      </c>
      <c r="I15" s="1">
        <v>7.6606876334252803E-3</v>
      </c>
    </row>
    <row r="16" spans="1:24" ht="45" x14ac:dyDescent="0.25">
      <c r="A16" s="1" t="s">
        <v>13</v>
      </c>
      <c r="B16" s="1">
        <v>0.18221791853755001</v>
      </c>
      <c r="C16" s="1">
        <v>1.3307358018436699</v>
      </c>
      <c r="D16" s="1">
        <v>-2.6756686243661898E-4</v>
      </c>
      <c r="E16" s="1">
        <v>-1.89160637831153E-4</v>
      </c>
      <c r="F16" s="1">
        <v>2.4036151928351499</v>
      </c>
      <c r="G16" s="1">
        <v>40.414898511610801</v>
      </c>
      <c r="H16" s="1">
        <v>7.5215001461198105E-4</v>
      </c>
      <c r="I16" s="1">
        <v>5.7209321426507599E-3</v>
      </c>
    </row>
    <row r="17" spans="1:9" ht="45" x14ac:dyDescent="0.25">
      <c r="A17" s="1" t="s">
        <v>14</v>
      </c>
      <c r="B17" s="1">
        <v>0.18189745497010401</v>
      </c>
      <c r="C17" s="1">
        <v>1.32960608050337</v>
      </c>
      <c r="D17" s="1">
        <v>-6.4689972033568502E-4</v>
      </c>
      <c r="E17" s="1">
        <v>-1.3231603066947699E-4</v>
      </c>
      <c r="F17" s="1">
        <v>2.1517258018596501</v>
      </c>
      <c r="G17" s="1">
        <v>41.058141280516097</v>
      </c>
      <c r="H17" s="1">
        <v>7.5215001461198105E-4</v>
      </c>
      <c r="I17" s="1">
        <v>7.75233473004815E-3</v>
      </c>
    </row>
    <row r="18" spans="1:9" ht="45" x14ac:dyDescent="0.25">
      <c r="A18" s="1" t="s">
        <v>15</v>
      </c>
      <c r="B18" s="1">
        <v>0.184062040242048</v>
      </c>
      <c r="C18" s="1">
        <v>1.3282334830323801</v>
      </c>
      <c r="D18" s="1">
        <v>4.7127132113047599E-4</v>
      </c>
      <c r="E18" s="1">
        <v>-2.8072430656648399E-4</v>
      </c>
      <c r="F18" s="1">
        <v>2.5940882747943799</v>
      </c>
      <c r="G18" s="1">
        <v>42.519224223624498</v>
      </c>
      <c r="H18" s="1">
        <v>7.5215001461198105E-4</v>
      </c>
      <c r="I18" s="1">
        <v>6.54823852382361E-3</v>
      </c>
    </row>
    <row r="19" spans="1:9" ht="45" x14ac:dyDescent="0.25">
      <c r="A19" s="1" t="s">
        <v>16</v>
      </c>
      <c r="B19" s="1">
        <v>0.180025762751445</v>
      </c>
      <c r="C19" s="1">
        <v>1.32737352526119</v>
      </c>
      <c r="D19" s="1">
        <v>4.4838362411142102E-4</v>
      </c>
      <c r="E19" s="1">
        <v>-2.7550782503360798E-4</v>
      </c>
      <c r="F19" s="1">
        <v>2.4033895220102401</v>
      </c>
      <c r="G19" s="1">
        <v>40.599731474114201</v>
      </c>
      <c r="H19" s="1">
        <v>7.5215001461198105E-4</v>
      </c>
      <c r="I19" s="1">
        <v>6.9993940836831497E-3</v>
      </c>
    </row>
    <row r="20" spans="1:9" ht="45" x14ac:dyDescent="0.25">
      <c r="A20" s="1" t="s">
        <v>17</v>
      </c>
      <c r="B20" s="1">
        <v>0.18513813740551099</v>
      </c>
      <c r="C20" s="1">
        <v>1.3294356006014201</v>
      </c>
      <c r="D20" s="2">
        <v>-8.0898008405581702E-5</v>
      </c>
      <c r="E20" s="1">
        <v>-1.6621355476127399E-4</v>
      </c>
      <c r="F20" s="1">
        <v>3.6618855286505099</v>
      </c>
      <c r="G20" s="1">
        <v>44.279979789896601</v>
      </c>
      <c r="H20" s="1">
        <v>7.5215001461198105E-4</v>
      </c>
      <c r="I20" s="1">
        <v>5.9458786636464398E-3</v>
      </c>
    </row>
    <row r="21" spans="1:9" ht="45" x14ac:dyDescent="0.25">
      <c r="A21" s="1" t="s">
        <v>18</v>
      </c>
      <c r="B21" s="1">
        <v>0.182873258171592</v>
      </c>
      <c r="C21" s="1">
        <v>1.3286585119718499</v>
      </c>
      <c r="D21" s="2">
        <v>-1.00457096855994E-5</v>
      </c>
      <c r="E21" s="1">
        <v>-2.0976749631787601E-4</v>
      </c>
      <c r="F21" s="1">
        <v>3.6486230378793101</v>
      </c>
      <c r="G21" s="1">
        <v>44.226100419681103</v>
      </c>
      <c r="H21" s="1">
        <v>7.5215001461198105E-4</v>
      </c>
      <c r="I21" s="1">
        <v>7.09094427075126E-3</v>
      </c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2015-06-05T18:17:20Z</dcterms:created>
  <dcterms:modified xsi:type="dcterms:W3CDTF">2026-05-01T16:42:58Z</dcterms:modified>
</cp:coreProperties>
</file>