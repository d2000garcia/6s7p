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3B830098-33C4-4CAE-A9D8-E76B90FE2B69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456" sheetId="1" r:id="rId1"/>
    <sheet name="894" sheetId="2" r:id="rId2"/>
    <sheet name="Absoprtion coeff" sheetId="3" r:id="rId3"/>
  </sheets>
  <definedNames>
    <definedName name="_xlchart.v1.0" hidden="1">'894'!$B$2:$B$16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T2" i="1"/>
  <c r="U2" i="1"/>
  <c r="V2" i="1"/>
  <c r="V4" i="1" s="1"/>
  <c r="V5" i="1" s="1"/>
  <c r="W2" i="1"/>
  <c r="Q3" i="1"/>
  <c r="R3" i="1"/>
  <c r="S3" i="1"/>
  <c r="T3" i="1"/>
  <c r="T4" i="1" s="1"/>
  <c r="T5" i="1" s="1"/>
  <c r="U3" i="1"/>
  <c r="W3" i="1"/>
  <c r="P3" i="1"/>
  <c r="P2" i="1"/>
  <c r="R4" i="1" l="1"/>
  <c r="R5" i="1" s="1"/>
  <c r="W4" i="1"/>
  <c r="W5" i="1" s="1"/>
  <c r="U4" i="1"/>
  <c r="U5" i="1" s="1"/>
  <c r="Q4" i="1"/>
  <c r="Q5" i="1" s="1"/>
  <c r="S4" i="1"/>
  <c r="S5" i="1" s="1"/>
  <c r="P4" i="1"/>
  <c r="P5" i="1" s="1"/>
</calcChain>
</file>

<file path=xl/sharedStrings.xml><?xml version="1.0" encoding="utf-8"?>
<sst xmlns="http://schemas.openxmlformats.org/spreadsheetml/2006/main" count="101" uniqueCount="35">
  <si>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</si>
  <si>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</si>
  <si>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</si>
  <si>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</si>
  <si>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</si>
  <si>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</si>
  <si>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</si>
  <si>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</si>
  <si>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</si>
  <si>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</si>
  <si>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</si>
  <si>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</si>
  <si>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Apr06,2026+5-03-59PM</t>
  </si>
  <si>
    <t>Apr06,2026+5-12-46PM</t>
  </si>
  <si>
    <t>Apr06,2026+5-27-52PM</t>
  </si>
  <si>
    <t>Apr06,2026+5-35-52PM</t>
  </si>
  <si>
    <t>Apr06,2026+6-03-01PM</t>
  </si>
  <si>
    <t>Apr06,2026+7-34-24PM</t>
  </si>
  <si>
    <t>Apr06,2026+7-42-35PM</t>
  </si>
  <si>
    <t>Apr06,2026+3-42-35PM</t>
  </si>
  <si>
    <t>Apr06,2026+3-49-52PM</t>
  </si>
  <si>
    <t>Apr06,2026+3-57-34PM</t>
  </si>
  <si>
    <t>Apr06,2026+4-04-50PM</t>
  </si>
  <si>
    <t>Apr06,2026+4-12-05PM</t>
  </si>
  <si>
    <t>Apr06,2026+4-24-01PM</t>
  </si>
  <si>
    <t>Apr06,2026+4-48-08PM</t>
  </si>
  <si>
    <t>Apr06,2026+4-55-13PM</t>
  </si>
  <si>
    <t>mean</t>
  </si>
  <si>
    <t>std</t>
  </si>
  <si>
    <t>std/mean</t>
  </si>
  <si>
    <t>h2</t>
  </si>
  <si>
    <t>100*std/mean/sqrt(n)</t>
  </si>
  <si>
    <t>Apr06,2026+8-34-06PM</t>
  </si>
  <si>
    <t>456 Alpha</t>
  </si>
  <si>
    <t>894 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</si>
</sst>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456 Absorption Coefficients, April</a:t>
            </a:r>
            <a:r>
              <a:rPr lang="en-US" baseline="0"/>
              <a:t> 6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'456'!$B$2:$B$22</c:f>
              <c:numCache>
                <c:formatCode>General</c:formatCode>
                <c:ptCount val="21"/>
                <c:pt idx="0">
                  <c:v>0.18709784436360999</c:v>
                </c:pt>
                <c:pt idx="1">
                  <c:v>0.182062561992865</c:v>
                </c:pt>
                <c:pt idx="2">
                  <c:v>0.18300790529903599</c:v>
                </c:pt>
                <c:pt idx="3">
                  <c:v>0.18542828335339201</c:v>
                </c:pt>
                <c:pt idx="4">
                  <c:v>0.17820611212962301</c:v>
                </c:pt>
                <c:pt idx="5">
                  <c:v>0.18269367018010399</c:v>
                </c:pt>
                <c:pt idx="6">
                  <c:v>0.184059854518271</c:v>
                </c:pt>
                <c:pt idx="7">
                  <c:v>0.18187437151116301</c:v>
                </c:pt>
                <c:pt idx="8">
                  <c:v>0.18158579062830699</c:v>
                </c:pt>
                <c:pt idx="9">
                  <c:v>0.18238164023953901</c:v>
                </c:pt>
                <c:pt idx="10">
                  <c:v>0.183302795041484</c:v>
                </c:pt>
                <c:pt idx="11">
                  <c:v>0.186980807885406</c:v>
                </c:pt>
                <c:pt idx="12">
                  <c:v>0.18110325820647299</c:v>
                </c:pt>
                <c:pt idx="13">
                  <c:v>0.18221791853755001</c:v>
                </c:pt>
                <c:pt idx="14">
                  <c:v>0.18189745497010401</c:v>
                </c:pt>
                <c:pt idx="15">
                  <c:v>0.184062040242048</c:v>
                </c:pt>
                <c:pt idx="16">
                  <c:v>0.180025762751445</c:v>
                </c:pt>
                <c:pt idx="17">
                  <c:v>0.18513813740551099</c:v>
                </c:pt>
                <c:pt idx="18">
                  <c:v>0.18291958569903399</c:v>
                </c:pt>
                <c:pt idx="19">
                  <c:v>0.17751259924537499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8-4F68-8249-ADBE9101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240783"/>
        <c:axId val="1873237903"/>
      </c:scatterChart>
      <c:valAx>
        <c:axId val="187324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37903"/>
        <c:crosses val="autoZero"/>
        <c:crossBetween val="midCat"/>
      </c:valAx>
      <c:valAx>
        <c:axId val="187323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4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894 Absorption Coefficients, April 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'894'!$B$2:$B$16</c:f>
              <c:numCache>
                <c:formatCode>General</c:formatCode>
                <c:ptCount val="15"/>
                <c:pt idx="0">
                  <c:v>9.5841418161231999</c:v>
                </c:pt>
                <c:pt idx="1">
                  <c:v>9.5479162076406308</c:v>
                </c:pt>
                <c:pt idx="2">
                  <c:v>9.5970818557036903</c:v>
                </c:pt>
                <c:pt idx="3">
                  <c:v>9.6542865700352092</c:v>
                </c:pt>
                <c:pt idx="4">
                  <c:v>9.6819878150686591</c:v>
                </c:pt>
                <c:pt idx="5">
                  <c:v>9.4147266289739004</c:v>
                </c:pt>
                <c:pt idx="6">
                  <c:v>9.3978793532990501</c:v>
                </c:pt>
                <c:pt idx="7">
                  <c:v>9.6256080694206307</c:v>
                </c:pt>
                <c:pt idx="8">
                  <c:v>9.5977887849237504</c:v>
                </c:pt>
                <c:pt idx="9">
                  <c:v>9.6309507973488007</c:v>
                </c:pt>
                <c:pt idx="10">
                  <c:v>9.6918732409243802</c:v>
                </c:pt>
                <c:pt idx="11">
                  <c:v>9.6422026281330098</c:v>
                </c:pt>
                <c:pt idx="12">
                  <c:v>9.6063436583162094</c:v>
                </c:pt>
                <c:pt idx="13">
                  <c:v>9.6714560570485393</c:v>
                </c:pt>
                <c:pt idx="14">
                  <c:v>9.4148874433485297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4-41CF-9853-E7DDBF5A7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315007"/>
        <c:axId val="1128315487"/>
      </c:scatterChart>
      <c:valAx>
        <c:axId val="112831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315487"/>
        <c:crosses val="autoZero"/>
        <c:crossBetween val="midCat"/>
      </c:valAx>
      <c:valAx>
        <c:axId val="112831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31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663575</xdr:colOff>
      <xdr:row>6</xdr:row>
      <xdr:rowOff>396875</xdr:rowOff>
    </xdr:from>
    <xdr:to>
      <xdr:col>20</xdr:col>
      <xdr:colOff>358775</xdr:colOff>
      <xdr:row>11</xdr:row>
      <xdr:rowOff>377825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FB04B3-FFBA-36F0-017A-0A7F75B7D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0</xdr:rowOff>
    </xdr:from>
    <xdr:to>
      <xdr:col>21</xdr:col>
      <xdr:colOff>250825</xdr:colOff>
      <xdr:row>11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AA28BD-074F-280E-78CD-6FDE66C81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opLeftCell="A5" workbookViewId="0">
      <selection sqref="A1:H22"/>
    </sheetView>
  </sheetViews>
  <sheetFormatPr defaultRowHeight="14.5" x14ac:dyDescent="0.35"/>
  <cols>
    <col min="15" max="15" width="23.54296875" customWidth="1"/>
    <col min="16" max="16" width="11.3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30</v>
      </c>
      <c r="F1" s="1" t="s">
        <v>4</v>
      </c>
      <c r="G1" s="1" t="s">
        <v>5</v>
      </c>
      <c r="H1" s="1" t="s">
        <v>6</v>
      </c>
      <c r="I1" s="1" t="s">
        <v>7</v>
      </c>
      <c r="P1" s="1" t="s">
        <v>1</v>
      </c>
      <c r="Q1" s="1" t="s">
        <v>2</v>
      </c>
      <c r="R1" s="1" t="s">
        <v>3</v>
      </c>
      <c r="S1" s="1" t="s">
        <v>30</v>
      </c>
      <c r="T1" s="1" t="s">
        <v>4</v>
      </c>
      <c r="U1" s="1" t="s">
        <v>5</v>
      </c>
      <c r="V1" s="1" t="s">
        <v>6</v>
      </c>
      <c r="W1" s="1" t="s">
        <v>7</v>
      </c>
      <c r="X1" s="1"/>
    </row>
    <row r="2" spans="1:24" ht="43.5" x14ac:dyDescent="0.35">
      <c r="A2" s="1" t="s">
        <v>8</v>
      </c>
      <c r="B2" s="1">
        <v>0.18709784436360999</v>
      </c>
      <c r="C2" s="1">
        <v>1.3322271119521401</v>
      </c>
      <c r="D2" s="1">
        <v>-2.5871169170551498E-4</v>
      </c>
      <c r="E2" s="1">
        <v>-1.5153366116563201E-4</v>
      </c>
      <c r="F2" s="1">
        <v>3.40018593182061</v>
      </c>
      <c r="G2" s="1">
        <v>44.310397367864802</v>
      </c>
      <c r="H2" s="1">
        <v>7.5215001461198105E-4</v>
      </c>
      <c r="I2" s="1">
        <v>6.7351546757008799E-3</v>
      </c>
      <c r="O2" t="s">
        <v>27</v>
      </c>
      <c r="P2" s="1">
        <f>AVERAGE(B2:B22)</f>
        <v>0.18267791971001701</v>
      </c>
      <c r="Q2" s="1">
        <f t="shared" ref="Q2:W2" si="0">AVERAGE(C2:C22)</f>
        <v>1.3297062414106158</v>
      </c>
      <c r="R2" s="1">
        <f t="shared" si="0"/>
        <v>1.9891124161462896E-4</v>
      </c>
      <c r="S2" s="1">
        <f t="shared" si="0"/>
        <v>-2.4182654593636691E-4</v>
      </c>
      <c r="T2" s="1">
        <f t="shared" si="0"/>
        <v>2.9442805382833939</v>
      </c>
      <c r="U2" s="1">
        <f t="shared" si="0"/>
        <v>42.18865445567134</v>
      </c>
      <c r="V2" s="1">
        <f t="shared" si="0"/>
        <v>7.5215001461198137E-4</v>
      </c>
      <c r="W2" s="1">
        <f t="shared" si="0"/>
        <v>6.8945684636374013E-3</v>
      </c>
      <c r="X2" s="1"/>
    </row>
    <row r="3" spans="1:24" ht="43.5" x14ac:dyDescent="0.35">
      <c r="A3" s="1" t="s">
        <v>9</v>
      </c>
      <c r="B3" s="1">
        <v>0.182062561992865</v>
      </c>
      <c r="C3" s="1">
        <v>1.3309161746751099</v>
      </c>
      <c r="D3" s="1">
        <v>-2.84987731533243E-4</v>
      </c>
      <c r="E3" s="1">
        <v>-1.50079002796277E-4</v>
      </c>
      <c r="F3" s="1">
        <v>3.1383825120767201</v>
      </c>
      <c r="G3" s="1">
        <v>40.378374585231903</v>
      </c>
      <c r="H3" s="1">
        <v>7.5215001461198105E-4</v>
      </c>
      <c r="I3" s="1">
        <v>7.56590628428462E-3</v>
      </c>
      <c r="O3" t="s">
        <v>28</v>
      </c>
      <c r="P3" s="1">
        <f>_xlfn.STDEV.S(B2:B22)</f>
        <v>2.4641428319202383E-3</v>
      </c>
      <c r="Q3" s="1">
        <f t="shared" ref="Q3:W3" si="1">_xlfn.STDEV.S(C2:C22)</f>
        <v>1.6600142042475577E-3</v>
      </c>
      <c r="R3" s="1">
        <f t="shared" si="1"/>
        <v>5.1226811092735006E-4</v>
      </c>
      <c r="S3" s="1">
        <f t="shared" si="1"/>
        <v>7.8368030186937184E-5</v>
      </c>
      <c r="T3" s="1">
        <f t="shared" si="1"/>
        <v>0.46972496099172645</v>
      </c>
      <c r="U3" s="1">
        <f t="shared" si="1"/>
        <v>1.8608944075254241</v>
      </c>
      <c r="V3" s="1">
        <v>0</v>
      </c>
      <c r="W3" s="1">
        <f t="shared" si="1"/>
        <v>7.5582642455171488E-4</v>
      </c>
      <c r="X3" s="1"/>
    </row>
    <row r="4" spans="1:24" ht="43.5" x14ac:dyDescent="0.35">
      <c r="A4" s="1" t="s">
        <v>10</v>
      </c>
      <c r="B4" s="1">
        <v>0.18300790529903599</v>
      </c>
      <c r="C4" s="1">
        <v>1.329865388113</v>
      </c>
      <c r="D4" s="1">
        <v>-2.43960464747295E-4</v>
      </c>
      <c r="E4" s="1">
        <v>-1.4904461717444599E-4</v>
      </c>
      <c r="F4" s="1">
        <v>3.4041242910053899</v>
      </c>
      <c r="G4" s="1">
        <v>42.681580232725203</v>
      </c>
      <c r="H4" s="1">
        <v>7.5215001461198105E-4</v>
      </c>
      <c r="I4" s="1">
        <v>7.6309500096276399E-3</v>
      </c>
      <c r="O4" t="s">
        <v>29</v>
      </c>
      <c r="P4" s="1">
        <f>P3/P2</f>
        <v>1.3489002041581268E-2</v>
      </c>
      <c r="Q4" s="1">
        <f t="shared" ref="Q4:W4" si="2">Q3/Q2</f>
        <v>1.2484067176269968E-3</v>
      </c>
      <c r="R4" s="1">
        <f t="shared" si="2"/>
        <v>2.5753602801385118</v>
      </c>
      <c r="S4" s="1">
        <f t="shared" si="2"/>
        <v>-0.32406711134003696</v>
      </c>
      <c r="T4" s="1">
        <f t="shared" si="2"/>
        <v>0.1595381129223476</v>
      </c>
      <c r="U4" s="1">
        <f t="shared" si="2"/>
        <v>4.4108882625794849E-2</v>
      </c>
      <c r="V4" s="1">
        <f t="shared" si="2"/>
        <v>0</v>
      </c>
      <c r="W4" s="1">
        <f t="shared" si="2"/>
        <v>0.10962635711546184</v>
      </c>
      <c r="X4" s="1"/>
    </row>
    <row r="5" spans="1:24" ht="43.5" x14ac:dyDescent="0.35">
      <c r="A5" s="1" t="s">
        <v>11</v>
      </c>
      <c r="B5" s="1">
        <v>0.18542828335339201</v>
      </c>
      <c r="C5" s="1">
        <v>1.32860283931444</v>
      </c>
      <c r="D5" s="1">
        <v>2.6884222958364201E-4</v>
      </c>
      <c r="E5" s="1">
        <v>-2.5381674654101301E-4</v>
      </c>
      <c r="F5" s="1">
        <v>3.1461301943306501</v>
      </c>
      <c r="G5" s="1">
        <v>44.283230951359698</v>
      </c>
      <c r="H5" s="1">
        <v>7.5215001461198105E-4</v>
      </c>
      <c r="I5" s="1">
        <v>7.6003569767388E-3</v>
      </c>
      <c r="O5" t="s">
        <v>31</v>
      </c>
      <c r="P5" s="1">
        <f>P4/SQRT(COUNT(B2:B22)) * 100</f>
        <v>0.30162325513609156</v>
      </c>
      <c r="Q5" s="1">
        <f t="shared" ref="Q5:W5" si="3">Q4/COUNT(C2:C22) * 100</f>
        <v>6.2420335881349836E-3</v>
      </c>
      <c r="R5" s="1">
        <f t="shared" si="3"/>
        <v>12.876801400692559</v>
      </c>
      <c r="S5" s="1">
        <f t="shared" si="3"/>
        <v>-1.6203355567001847</v>
      </c>
      <c r="T5" s="1">
        <f t="shared" si="3"/>
        <v>0.79769056461173793</v>
      </c>
      <c r="U5" s="1">
        <f t="shared" si="3"/>
        <v>0.22054441312897424</v>
      </c>
      <c r="V5" s="1">
        <f t="shared" si="3"/>
        <v>0</v>
      </c>
      <c r="W5" s="1">
        <f t="shared" si="3"/>
        <v>0.54813178557730924</v>
      </c>
      <c r="X5" s="1"/>
    </row>
    <row r="6" spans="1:24" ht="43.5" x14ac:dyDescent="0.35">
      <c r="A6" s="1" t="s">
        <v>19</v>
      </c>
      <c r="B6" s="1">
        <v>0.17820611212962301</v>
      </c>
      <c r="C6" s="1">
        <v>1.33066965734711</v>
      </c>
      <c r="D6" s="1">
        <v>6.1209502623091902E-4</v>
      </c>
      <c r="E6" s="1">
        <v>-3.1325423053619398E-4</v>
      </c>
      <c r="F6" s="1">
        <v>2.8997977394360501</v>
      </c>
      <c r="G6" s="1">
        <v>40.342395355670398</v>
      </c>
      <c r="H6" s="1">
        <v>7.5215001461198105E-4</v>
      </c>
      <c r="I6" s="1">
        <v>6.5353645471448799E-3</v>
      </c>
    </row>
    <row r="7" spans="1:24" ht="43.5" x14ac:dyDescent="0.35">
      <c r="A7" s="1" t="s">
        <v>20</v>
      </c>
      <c r="B7" s="1">
        <v>0.18269367018010399</v>
      </c>
      <c r="C7" s="1">
        <v>1.3295994960658399</v>
      </c>
      <c r="D7" s="1">
        <v>1.16649240507941E-3</v>
      </c>
      <c r="E7" s="1">
        <v>-3.4862156063490701E-4</v>
      </c>
      <c r="F7" s="1">
        <v>3.35015238671817</v>
      </c>
      <c r="G7" s="1">
        <v>43.891244742156097</v>
      </c>
      <c r="H7" s="1">
        <v>7.5215001461198105E-4</v>
      </c>
      <c r="I7" s="1">
        <v>6.0453225617137204E-3</v>
      </c>
    </row>
    <row r="8" spans="1:24" ht="43.5" x14ac:dyDescent="0.35">
      <c r="A8" s="1" t="s">
        <v>21</v>
      </c>
      <c r="B8" s="1">
        <v>0.184059854518271</v>
      </c>
      <c r="C8" s="1">
        <v>1.3308217707257599</v>
      </c>
      <c r="D8" s="1">
        <v>-1.88233667498521E-4</v>
      </c>
      <c r="E8" s="1">
        <v>-2.0591670287136899E-4</v>
      </c>
      <c r="F8" s="1">
        <v>2.39773584464518</v>
      </c>
      <c r="G8" s="1">
        <v>40.387320145321702</v>
      </c>
      <c r="H8" s="1">
        <v>7.5215001461198105E-4</v>
      </c>
      <c r="I8" s="1">
        <v>6.3505393389513597E-3</v>
      </c>
    </row>
    <row r="9" spans="1:24" ht="43.5" x14ac:dyDescent="0.35">
      <c r="A9" s="1" t="s">
        <v>22</v>
      </c>
      <c r="B9" s="1">
        <v>0.18187437151116301</v>
      </c>
      <c r="C9" s="1">
        <v>1.3303070514606401</v>
      </c>
      <c r="D9" s="2">
        <v>4.5975413008572498E-5</v>
      </c>
      <c r="E9" s="1">
        <v>-2.30508471321344E-4</v>
      </c>
      <c r="F9" s="1">
        <v>2.6459600536419901</v>
      </c>
      <c r="G9" s="1">
        <v>40.430743787393297</v>
      </c>
      <c r="H9" s="1">
        <v>7.5215001461198105E-4</v>
      </c>
      <c r="I9" s="1">
        <v>6.7569254269072903E-3</v>
      </c>
    </row>
    <row r="10" spans="1:24" ht="43.5" x14ac:dyDescent="0.35">
      <c r="A10" s="1" t="s">
        <v>23</v>
      </c>
      <c r="B10" s="1">
        <v>0.18158579062830699</v>
      </c>
      <c r="C10" s="1">
        <v>1.3291905899116201</v>
      </c>
      <c r="D10" s="1">
        <v>1.3794771593171899E-4</v>
      </c>
      <c r="E10" s="1">
        <v>-1.97187313180795E-4</v>
      </c>
      <c r="F10" s="1">
        <v>3.3900135378968499</v>
      </c>
      <c r="G10" s="1">
        <v>40.603355109331503</v>
      </c>
      <c r="H10" s="1">
        <v>7.5215001461198105E-4</v>
      </c>
      <c r="I10" s="1">
        <v>7.8301685001272402E-3</v>
      </c>
    </row>
    <row r="11" spans="1:24" ht="43.5" x14ac:dyDescent="0.35">
      <c r="A11" s="1" t="s">
        <v>24</v>
      </c>
      <c r="B11" s="1">
        <v>0.18238164023953901</v>
      </c>
      <c r="C11" s="1">
        <v>1.33090091924622</v>
      </c>
      <c r="D11" s="1">
        <v>1.9434033620930501E-4</v>
      </c>
      <c r="E11" s="1">
        <v>-2.4891781622763803E-4</v>
      </c>
      <c r="F11" s="1">
        <v>2.6530536956391901</v>
      </c>
      <c r="G11" s="1">
        <v>44.255871321421701</v>
      </c>
      <c r="H11" s="1">
        <v>7.5215001461198105E-4</v>
      </c>
      <c r="I11" s="1">
        <v>6.7890161662815703E-3</v>
      </c>
    </row>
    <row r="12" spans="1:24" ht="43.5" x14ac:dyDescent="0.35">
      <c r="A12" s="1" t="s">
        <v>25</v>
      </c>
      <c r="B12" s="1">
        <v>0.183302795041484</v>
      </c>
      <c r="C12" s="1">
        <v>1.33359434431913</v>
      </c>
      <c r="D12" s="2">
        <v>5.9704082059407198E-5</v>
      </c>
      <c r="E12" s="1">
        <v>-2.9614410978437899E-4</v>
      </c>
      <c r="F12" s="1">
        <v>2.39461855236125</v>
      </c>
      <c r="G12" s="1">
        <v>44.417509788914202</v>
      </c>
      <c r="H12" s="1">
        <v>7.5215001461198105E-4</v>
      </c>
      <c r="I12" s="1">
        <v>5.2392815033215001E-3</v>
      </c>
    </row>
    <row r="13" spans="1:24" ht="43.5" x14ac:dyDescent="0.35">
      <c r="A13" s="1" t="s">
        <v>26</v>
      </c>
      <c r="B13" s="1">
        <v>0.186980807885406</v>
      </c>
      <c r="C13" s="1">
        <v>1.32902750620871</v>
      </c>
      <c r="D13" s="1">
        <v>1.25276781453186E-3</v>
      </c>
      <c r="E13" s="1">
        <v>-4.15677505131206E-4</v>
      </c>
      <c r="F13" s="1">
        <v>2.9034109287382299</v>
      </c>
      <c r="G13" s="1">
        <v>44.405805748010302</v>
      </c>
      <c r="H13" s="1">
        <v>7.5215001461198105E-4</v>
      </c>
      <c r="I13" s="1">
        <v>7.5602886495809403E-3</v>
      </c>
    </row>
    <row r="14" spans="1:24" ht="43.5" x14ac:dyDescent="0.35">
      <c r="A14" s="1" t="s">
        <v>12</v>
      </c>
      <c r="B14" s="1">
        <v>0.18110325820647299</v>
      </c>
      <c r="C14" s="1">
        <v>1.3280117156865801</v>
      </c>
      <c r="D14" s="1">
        <v>1.0554048359570701E-3</v>
      </c>
      <c r="E14" s="1">
        <v>-3.5831966332869098E-4</v>
      </c>
      <c r="F14" s="1">
        <v>2.9022829955347298</v>
      </c>
      <c r="G14" s="1">
        <v>40.394869752424199</v>
      </c>
      <c r="H14" s="1">
        <v>7.5215001461198105E-4</v>
      </c>
      <c r="I14" s="1">
        <v>7.6606876334252803E-3</v>
      </c>
    </row>
    <row r="15" spans="1:24" ht="43.5" x14ac:dyDescent="0.35">
      <c r="A15" s="1" t="s">
        <v>13</v>
      </c>
      <c r="B15" s="1">
        <v>0.18221791853755001</v>
      </c>
      <c r="C15" s="1">
        <v>1.3307358018436699</v>
      </c>
      <c r="D15" s="1">
        <v>-2.6756686243661898E-4</v>
      </c>
      <c r="E15" s="1">
        <v>-1.89160637831153E-4</v>
      </c>
      <c r="F15" s="1">
        <v>2.4036151928351499</v>
      </c>
      <c r="G15" s="1">
        <v>40.414898511610801</v>
      </c>
      <c r="H15" s="1">
        <v>7.5215001461198105E-4</v>
      </c>
      <c r="I15" s="1">
        <v>5.7209321426507599E-3</v>
      </c>
    </row>
    <row r="16" spans="1:24" ht="43.5" x14ac:dyDescent="0.35">
      <c r="A16" s="1" t="s">
        <v>14</v>
      </c>
      <c r="B16" s="1">
        <v>0.18189745497010401</v>
      </c>
      <c r="C16" s="1">
        <v>1.32960608050337</v>
      </c>
      <c r="D16" s="1">
        <v>-6.4689972033568502E-4</v>
      </c>
      <c r="E16" s="1">
        <v>-1.3231603066947699E-4</v>
      </c>
      <c r="F16" s="1">
        <v>2.1517258018596501</v>
      </c>
      <c r="G16" s="1">
        <v>41.058141280516097</v>
      </c>
      <c r="H16" s="1">
        <v>7.5215001461198105E-4</v>
      </c>
      <c r="I16" s="1">
        <v>7.75233473004815E-3</v>
      </c>
    </row>
    <row r="17" spans="1:9" ht="43.5" x14ac:dyDescent="0.35">
      <c r="A17" s="1" t="s">
        <v>15</v>
      </c>
      <c r="B17" s="1">
        <v>0.184062040242048</v>
      </c>
      <c r="C17" s="1">
        <v>1.3282334830323801</v>
      </c>
      <c r="D17" s="1">
        <v>4.7127132113047599E-4</v>
      </c>
      <c r="E17" s="1">
        <v>-2.8072430656648399E-4</v>
      </c>
      <c r="F17" s="1">
        <v>2.5940882747943799</v>
      </c>
      <c r="G17" s="1">
        <v>42.519224223624498</v>
      </c>
      <c r="H17" s="1">
        <v>7.5215001461198105E-4</v>
      </c>
      <c r="I17" s="1">
        <v>6.54823852382361E-3</v>
      </c>
    </row>
    <row r="18" spans="1:9" ht="43.5" x14ac:dyDescent="0.35">
      <c r="A18" s="1" t="s">
        <v>16</v>
      </c>
      <c r="B18" s="1">
        <v>0.180025762751445</v>
      </c>
      <c r="C18" s="1">
        <v>1.32737352526119</v>
      </c>
      <c r="D18" s="1">
        <v>4.4838362411142102E-4</v>
      </c>
      <c r="E18" s="1">
        <v>-2.7550782503360798E-4</v>
      </c>
      <c r="F18" s="1">
        <v>2.4033895220102401</v>
      </c>
      <c r="G18" s="1">
        <v>40.599731474114201</v>
      </c>
      <c r="H18" s="1">
        <v>7.5215001461198105E-4</v>
      </c>
      <c r="I18" s="1">
        <v>6.9993940836831497E-3</v>
      </c>
    </row>
    <row r="19" spans="1:9" ht="43.5" x14ac:dyDescent="0.35">
      <c r="A19" s="1" t="s">
        <v>17</v>
      </c>
      <c r="B19" s="1">
        <v>0.18513813740551099</v>
      </c>
      <c r="C19" s="1">
        <v>1.3294356006014201</v>
      </c>
      <c r="D19" s="2">
        <v>-8.0898008405581702E-5</v>
      </c>
      <c r="E19" s="1">
        <v>-1.6621355476127399E-4</v>
      </c>
      <c r="F19" s="1">
        <v>3.6618855286505099</v>
      </c>
      <c r="G19" s="1">
        <v>44.279979789896601</v>
      </c>
      <c r="H19" s="1">
        <v>7.5215001461198105E-4</v>
      </c>
      <c r="I19" s="1">
        <v>5.9458786636464398E-3</v>
      </c>
    </row>
    <row r="20" spans="1:9" ht="43.5" x14ac:dyDescent="0.35">
      <c r="A20" s="1" t="s">
        <v>18</v>
      </c>
      <c r="B20" s="1">
        <v>0.18291958569903399</v>
      </c>
      <c r="C20" s="1">
        <v>1.32853845389109</v>
      </c>
      <c r="D20" s="2">
        <v>-1.04713229981422E-5</v>
      </c>
      <c r="E20" s="1">
        <v>-2.0966247719164999E-4</v>
      </c>
      <c r="F20" s="1">
        <v>3.6482967559267601</v>
      </c>
      <c r="G20" s="1">
        <v>44.2260947624534</v>
      </c>
      <c r="H20" s="1">
        <v>7.5215001461198105E-4</v>
      </c>
      <c r="I20" s="1">
        <v>7.2055506844181001E-3</v>
      </c>
    </row>
    <row r="21" spans="1:9" ht="43.5" x14ac:dyDescent="0.35">
      <c r="A21" s="1" t="s">
        <v>32</v>
      </c>
      <c r="B21" s="1">
        <v>0.17751259924537499</v>
      </c>
      <c r="C21" s="1">
        <v>1.3264673180528901</v>
      </c>
      <c r="D21" s="1">
        <v>2.4672949811937903E-4</v>
      </c>
      <c r="E21" s="1">
        <v>-2.63924685979802E-4</v>
      </c>
      <c r="F21" s="1">
        <v>3.3967610257461902</v>
      </c>
      <c r="G21" s="1">
        <v>39.892320183386197</v>
      </c>
      <c r="H21" s="1">
        <v>7.5215001461198105E-4</v>
      </c>
      <c r="I21" s="1">
        <v>7.4190781706720797E-3</v>
      </c>
    </row>
    <row r="22" spans="1:9" x14ac:dyDescent="0.35">
      <c r="A22" s="1"/>
      <c r="B22" s="1"/>
      <c r="C22" s="1"/>
      <c r="D22" s="1"/>
      <c r="E22" s="1"/>
      <c r="F22" s="1"/>
      <c r="G22" s="1"/>
      <c r="H22" s="1"/>
      <c r="I2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8C4A-68F1-499A-92AA-6A03568091AB}">
  <dimension ref="A1:H17"/>
  <sheetViews>
    <sheetView workbookViewId="0">
      <selection sqref="A1:B1048576"/>
    </sheetView>
  </sheetViews>
  <sheetFormatPr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3.5" x14ac:dyDescent="0.35">
      <c r="A2" s="1" t="s">
        <v>8</v>
      </c>
      <c r="B2" s="1">
        <v>9.5841418161231999</v>
      </c>
      <c r="C2" s="1">
        <v>1.16785616842497</v>
      </c>
      <c r="D2" s="1">
        <v>-1.14062824653226E-3</v>
      </c>
      <c r="E2" s="1">
        <v>2.8625496556513701</v>
      </c>
      <c r="F2" s="1">
        <v>42.367934428925402</v>
      </c>
      <c r="G2" s="1">
        <v>2.2873004957014E-3</v>
      </c>
      <c r="H2" s="1">
        <v>3.91488810011313E-2</v>
      </c>
    </row>
    <row r="3" spans="1:8" ht="43.5" x14ac:dyDescent="0.35">
      <c r="A3" s="1" t="s">
        <v>9</v>
      </c>
      <c r="B3" s="1">
        <v>9.5479162076406308</v>
      </c>
      <c r="C3" s="1">
        <v>1.1666630967512499</v>
      </c>
      <c r="D3" s="1">
        <v>-9.7420467527509203E-4</v>
      </c>
      <c r="E3" s="1">
        <v>2.8621893012066901</v>
      </c>
      <c r="F3" s="1">
        <v>41.845628511382401</v>
      </c>
      <c r="G3" s="1">
        <v>2.2873004957014E-3</v>
      </c>
      <c r="H3" s="1">
        <v>3.8679785210545499E-2</v>
      </c>
    </row>
    <row r="4" spans="1:8" ht="43.5" x14ac:dyDescent="0.35">
      <c r="A4" s="1" t="s">
        <v>10</v>
      </c>
      <c r="B4" s="1">
        <v>9.5970818557036903</v>
      </c>
      <c r="C4" s="1">
        <v>1.16654765543585</v>
      </c>
      <c r="D4" s="1">
        <v>-9.6777866324870702E-4</v>
      </c>
      <c r="E4" s="1">
        <v>2.8626461951264801</v>
      </c>
      <c r="F4" s="1">
        <v>41.752318570743903</v>
      </c>
      <c r="G4" s="1">
        <v>2.2873004957014E-3</v>
      </c>
      <c r="H4" s="1">
        <v>3.84371836522455E-2</v>
      </c>
    </row>
    <row r="5" spans="1:8" ht="43.5" x14ac:dyDescent="0.35">
      <c r="A5" s="1" t="s">
        <v>11</v>
      </c>
      <c r="B5" s="1">
        <v>9.6542865700352092</v>
      </c>
      <c r="C5" s="1">
        <v>1.16494906234313</v>
      </c>
      <c r="D5" s="1">
        <v>-5.8279396717671704E-4</v>
      </c>
      <c r="E5" s="1">
        <v>2.8626342369496802</v>
      </c>
      <c r="F5" s="1">
        <v>40.448117925041799</v>
      </c>
      <c r="G5" s="1">
        <v>2.2873004957014E-3</v>
      </c>
      <c r="H5" s="1">
        <v>3.8844470972722103E-2</v>
      </c>
    </row>
    <row r="6" spans="1:8" ht="43.5" x14ac:dyDescent="0.35">
      <c r="A6" s="1" t="s">
        <v>19</v>
      </c>
      <c r="B6" s="1">
        <v>9.6819878150686591</v>
      </c>
      <c r="C6" s="1">
        <v>1.16566651091161</v>
      </c>
      <c r="D6" s="1">
        <v>-1.47614749092091E-3</v>
      </c>
      <c r="E6" s="1">
        <v>2.8608294081244998</v>
      </c>
      <c r="F6" s="1">
        <v>42.722775088650103</v>
      </c>
      <c r="G6" s="1">
        <v>2.2873004957014E-3</v>
      </c>
      <c r="H6" s="1">
        <v>4.0980222460392603E-2</v>
      </c>
    </row>
    <row r="7" spans="1:8" ht="43.5" x14ac:dyDescent="0.35">
      <c r="A7" s="1" t="s">
        <v>20</v>
      </c>
      <c r="B7" s="1">
        <v>9.4147266289739004</v>
      </c>
      <c r="C7" s="1">
        <v>1.1679678092972301</v>
      </c>
      <c r="D7" s="1">
        <v>-4.3491298821636999E-3</v>
      </c>
      <c r="E7" s="1">
        <v>1.8619396151332199</v>
      </c>
      <c r="F7" s="1">
        <v>42.662536521697398</v>
      </c>
      <c r="G7" s="1">
        <v>2.2873004957014E-3</v>
      </c>
      <c r="H7" s="1">
        <v>3.8909036436339001E-2</v>
      </c>
    </row>
    <row r="8" spans="1:8" ht="43.5" x14ac:dyDescent="0.35">
      <c r="A8" s="1" t="s">
        <v>21</v>
      </c>
      <c r="B8" s="1">
        <v>9.3978793532990501</v>
      </c>
      <c r="C8" s="1">
        <v>1.16530776913967</v>
      </c>
      <c r="D8" s="1">
        <v>-1.3679734741703299E-3</v>
      </c>
      <c r="E8" s="1">
        <v>2.3619852827147501</v>
      </c>
      <c r="F8" s="1">
        <v>43.5675544619112</v>
      </c>
      <c r="G8" s="1">
        <v>2.2873004957014E-3</v>
      </c>
      <c r="H8" s="1">
        <v>3.8435390387716498E-2</v>
      </c>
    </row>
    <row r="9" spans="1:8" ht="43.5" x14ac:dyDescent="0.35">
      <c r="A9" s="1" t="s">
        <v>22</v>
      </c>
      <c r="B9" s="1">
        <v>9.6256080694206307</v>
      </c>
      <c r="C9" s="1">
        <v>1.16312872806588</v>
      </c>
      <c r="D9" s="1">
        <v>-1.3557706726415901E-3</v>
      </c>
      <c r="E9" s="1">
        <v>2.8622869621451601</v>
      </c>
      <c r="F9" s="1">
        <v>42.204033591397703</v>
      </c>
      <c r="G9" s="1">
        <v>2.2873004957014E-3</v>
      </c>
      <c r="H9" s="1">
        <v>4.0124607725458297E-2</v>
      </c>
    </row>
    <row r="10" spans="1:8" ht="43.5" x14ac:dyDescent="0.35">
      <c r="A10" s="1" t="s">
        <v>24</v>
      </c>
      <c r="B10" s="1">
        <v>9.5977887849237504</v>
      </c>
      <c r="C10" s="1">
        <v>1.1606770778392601</v>
      </c>
      <c r="D10" s="1">
        <v>-2.0224711289164501E-3</v>
      </c>
      <c r="E10" s="1">
        <v>2.8621420786566998</v>
      </c>
      <c r="F10" s="1">
        <v>43.911338034350102</v>
      </c>
      <c r="G10" s="1">
        <v>2.2873004957014E-3</v>
      </c>
      <c r="H10" s="1">
        <v>4.0161020680797598E-2</v>
      </c>
    </row>
    <row r="11" spans="1:8" ht="43.5" x14ac:dyDescent="0.35">
      <c r="A11" s="1" t="s">
        <v>25</v>
      </c>
      <c r="B11" s="1">
        <v>9.6309507973488007</v>
      </c>
      <c r="C11" s="1">
        <v>1.1599040984425</v>
      </c>
      <c r="D11" s="1">
        <v>-1.6396888009149999E-3</v>
      </c>
      <c r="E11" s="1">
        <v>2.86327561746144</v>
      </c>
      <c r="F11" s="1">
        <v>42.333341404611602</v>
      </c>
      <c r="G11" s="1">
        <v>2.2873004957014E-3</v>
      </c>
      <c r="H11" s="1">
        <v>4.01957931520791E-2</v>
      </c>
    </row>
    <row r="12" spans="1:8" ht="43.5" x14ac:dyDescent="0.35">
      <c r="A12" s="1" t="s">
        <v>26</v>
      </c>
      <c r="B12" s="1">
        <v>9.6918732409243802</v>
      </c>
      <c r="C12" s="1">
        <v>1.1564926066172201</v>
      </c>
      <c r="D12" s="1">
        <v>-1.5183837562695E-3</v>
      </c>
      <c r="E12" s="1">
        <v>2.36242151745728</v>
      </c>
      <c r="F12" s="1">
        <v>40.908696174550201</v>
      </c>
      <c r="G12" s="1">
        <v>2.2873004957014E-3</v>
      </c>
      <c r="H12" s="1">
        <v>4.0627807408899798E-2</v>
      </c>
    </row>
    <row r="13" spans="1:8" ht="43.5" x14ac:dyDescent="0.35">
      <c r="A13" s="1" t="s">
        <v>12</v>
      </c>
      <c r="B13" s="1">
        <v>9.6422026281330098</v>
      </c>
      <c r="C13" s="1">
        <v>1.1558310900464801</v>
      </c>
      <c r="D13" s="1">
        <v>-1.19798866240016E-3</v>
      </c>
      <c r="E13" s="1">
        <v>2.8622893746945501</v>
      </c>
      <c r="F13" s="1">
        <v>42.528938193702302</v>
      </c>
      <c r="G13" s="1">
        <v>2.2873004957014E-3</v>
      </c>
      <c r="H13" s="1">
        <v>3.99250596686112E-2</v>
      </c>
    </row>
    <row r="14" spans="1:8" ht="43.5" x14ac:dyDescent="0.35">
      <c r="A14" s="1" t="s">
        <v>13</v>
      </c>
      <c r="B14" s="1">
        <v>9.6063436583162094</v>
      </c>
      <c r="C14" s="1">
        <v>1.1558285076978201</v>
      </c>
      <c r="D14" s="1">
        <v>-1.3719773803203201E-3</v>
      </c>
      <c r="E14" s="1">
        <v>2.8625253822498098</v>
      </c>
      <c r="F14" s="1">
        <v>42.581812179514799</v>
      </c>
      <c r="G14" s="1">
        <v>2.2873004957014E-3</v>
      </c>
      <c r="H14" s="1">
        <v>3.9800795650306101E-2</v>
      </c>
    </row>
    <row r="15" spans="1:8" ht="43.5" x14ac:dyDescent="0.35">
      <c r="A15" s="1" t="s">
        <v>15</v>
      </c>
      <c r="B15" s="1">
        <v>9.6714560570485393</v>
      </c>
      <c r="C15" s="1">
        <v>1.15194000942507</v>
      </c>
      <c r="D15" s="1">
        <v>-8.0045689220126801E-4</v>
      </c>
      <c r="E15" s="1">
        <v>1.3620085335246499</v>
      </c>
      <c r="F15" s="1">
        <v>42.006235753904797</v>
      </c>
      <c r="G15" s="1">
        <v>2.2873004957014E-3</v>
      </c>
      <c r="H15" s="1">
        <v>4.0275235987477398E-2</v>
      </c>
    </row>
    <row r="16" spans="1:8" ht="43.5" x14ac:dyDescent="0.35">
      <c r="A16" s="1" t="s">
        <v>17</v>
      </c>
      <c r="B16" s="1">
        <v>9.4148874433485297</v>
      </c>
      <c r="C16" s="1">
        <v>1.16954164980798</v>
      </c>
      <c r="D16" s="1">
        <v>-3.2814577453933697E-4</v>
      </c>
      <c r="E16" s="1">
        <v>2.8617460429306898</v>
      </c>
      <c r="F16" s="1">
        <v>43.029248910051798</v>
      </c>
      <c r="G16" s="1">
        <v>2.2873004957014E-3</v>
      </c>
      <c r="H16" s="1">
        <v>3.6655798700973699E-2</v>
      </c>
    </row>
    <row r="17" spans="1:8" ht="43.5" x14ac:dyDescent="0.35">
      <c r="A17" s="1" t="s">
        <v>18</v>
      </c>
      <c r="B17" s="1">
        <v>9.5342199610622096</v>
      </c>
      <c r="C17" s="1">
        <v>1.1690871202206099</v>
      </c>
      <c r="D17" s="1">
        <v>1.4234729456167301E-4</v>
      </c>
      <c r="E17" s="1">
        <v>2.8621122707985802</v>
      </c>
      <c r="F17" s="1">
        <v>40.528247168413799</v>
      </c>
      <c r="G17" s="1">
        <v>2.2873004957014E-3</v>
      </c>
      <c r="H17" s="1">
        <v>3.6961030341406902E-2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55D0-5652-4354-B9CB-3CB4F2CA0E80}">
  <dimension ref="A1:D41"/>
  <sheetViews>
    <sheetView tabSelected="1" workbookViewId="0">
      <selection sqref="A1:D1048576"/>
    </sheetView>
  </sheetViews>
  <sheetFormatPr defaultRowHeight="14.5" x14ac:dyDescent="0.35"/>
  <sheetData>
    <row r="1" spans="1:4" ht="29" x14ac:dyDescent="0.35">
      <c r="A1" s="1" t="s">
        <v>0</v>
      </c>
      <c r="B1" s="1" t="s">
        <v>33</v>
      </c>
      <c r="C1" s="1" t="s">
        <v>0</v>
      </c>
      <c r="D1" s="1" t="s">
        <v>34</v>
      </c>
    </row>
    <row r="2" spans="1:4" ht="43.5" x14ac:dyDescent="0.35">
      <c r="A2" s="1" t="s">
        <v>8</v>
      </c>
      <c r="B2" s="1">
        <v>0.18709784436360999</v>
      </c>
      <c r="C2" s="1" t="s">
        <v>8</v>
      </c>
      <c r="D2" s="1">
        <v>9.5841418161231999</v>
      </c>
    </row>
    <row r="3" spans="1:4" ht="43.5" x14ac:dyDescent="0.35">
      <c r="A3" s="1" t="s">
        <v>9</v>
      </c>
      <c r="B3" s="1">
        <v>0.182062561992865</v>
      </c>
      <c r="C3" s="1" t="s">
        <v>9</v>
      </c>
      <c r="D3" s="1">
        <v>9.5479162076406308</v>
      </c>
    </row>
    <row r="4" spans="1:4" ht="43.5" x14ac:dyDescent="0.35">
      <c r="A4" s="1" t="s">
        <v>10</v>
      </c>
      <c r="B4" s="1">
        <v>0.18300790529903599</v>
      </c>
      <c r="C4" s="1" t="s">
        <v>10</v>
      </c>
      <c r="D4" s="1">
        <v>9.5970818557036903</v>
      </c>
    </row>
    <row r="5" spans="1:4" ht="43.5" x14ac:dyDescent="0.35">
      <c r="A5" s="1" t="s">
        <v>11</v>
      </c>
      <c r="B5" s="1">
        <v>0.18542828335339201</v>
      </c>
      <c r="C5" s="1" t="s">
        <v>11</v>
      </c>
      <c r="D5" s="1">
        <v>9.6542865700352092</v>
      </c>
    </row>
    <row r="6" spans="1:4" ht="43.5" x14ac:dyDescent="0.35">
      <c r="A6" s="1" t="s">
        <v>19</v>
      </c>
      <c r="B6" s="1">
        <v>0.17820611212962301</v>
      </c>
      <c r="C6" s="1" t="s">
        <v>19</v>
      </c>
      <c r="D6" s="1">
        <v>9.6819878150686591</v>
      </c>
    </row>
    <row r="7" spans="1:4" ht="43.5" x14ac:dyDescent="0.35">
      <c r="A7" s="1" t="s">
        <v>20</v>
      </c>
      <c r="B7" s="1">
        <v>0.18269367018010399</v>
      </c>
      <c r="C7" s="1" t="s">
        <v>20</v>
      </c>
      <c r="D7" s="1">
        <v>9.4147266289739004</v>
      </c>
    </row>
    <row r="8" spans="1:4" ht="43.5" x14ac:dyDescent="0.35">
      <c r="A8" s="1" t="s">
        <v>21</v>
      </c>
      <c r="B8" s="1">
        <v>0.184059854518271</v>
      </c>
      <c r="C8" s="1" t="s">
        <v>21</v>
      </c>
      <c r="D8" s="1">
        <v>9.3978793532990501</v>
      </c>
    </row>
    <row r="9" spans="1:4" ht="43.5" x14ac:dyDescent="0.35">
      <c r="A9" s="1" t="s">
        <v>22</v>
      </c>
      <c r="B9" s="1">
        <v>0.18187437151116301</v>
      </c>
      <c r="C9" s="1" t="s">
        <v>22</v>
      </c>
      <c r="D9" s="1">
        <v>9.6256080694206307</v>
      </c>
    </row>
    <row r="10" spans="1:4" ht="43.5" x14ac:dyDescent="0.35">
      <c r="A10" s="1" t="s">
        <v>24</v>
      </c>
      <c r="B10" s="1">
        <v>0.18238164023953901</v>
      </c>
      <c r="C10" s="1" t="s">
        <v>24</v>
      </c>
      <c r="D10" s="1">
        <v>9.5977887849237504</v>
      </c>
    </row>
    <row r="11" spans="1:4" ht="43.5" x14ac:dyDescent="0.35">
      <c r="A11" s="1" t="s">
        <v>25</v>
      </c>
      <c r="B11" s="1">
        <v>0.183302795041484</v>
      </c>
      <c r="C11" s="1" t="s">
        <v>25</v>
      </c>
      <c r="D11" s="1">
        <v>9.6309507973488007</v>
      </c>
    </row>
    <row r="12" spans="1:4" ht="43.5" x14ac:dyDescent="0.35">
      <c r="A12" s="1" t="s">
        <v>26</v>
      </c>
      <c r="B12" s="1">
        <v>0.186980807885406</v>
      </c>
      <c r="C12" s="1" t="s">
        <v>26</v>
      </c>
      <c r="D12" s="1">
        <v>9.6918732409243802</v>
      </c>
    </row>
    <row r="13" spans="1:4" ht="43.5" x14ac:dyDescent="0.35">
      <c r="A13" s="1" t="s">
        <v>12</v>
      </c>
      <c r="B13" s="1">
        <v>0.18110325820647299</v>
      </c>
      <c r="C13" s="1" t="s">
        <v>12</v>
      </c>
      <c r="D13" s="1">
        <v>9.6422026281330098</v>
      </c>
    </row>
    <row r="14" spans="1:4" ht="43.5" x14ac:dyDescent="0.35">
      <c r="A14" s="1" t="s">
        <v>13</v>
      </c>
      <c r="B14" s="1">
        <v>0.18221791853755001</v>
      </c>
      <c r="C14" s="1" t="s">
        <v>13</v>
      </c>
      <c r="D14" s="1">
        <v>9.6063436583162094</v>
      </c>
    </row>
    <row r="15" spans="1:4" ht="43.5" x14ac:dyDescent="0.35">
      <c r="A15" s="1" t="s">
        <v>15</v>
      </c>
      <c r="B15" s="1">
        <v>0.184062040242048</v>
      </c>
      <c r="C15" s="1" t="s">
        <v>15</v>
      </c>
      <c r="D15" s="1">
        <v>9.6714560570485393</v>
      </c>
    </row>
    <row r="16" spans="1:4" ht="43.5" x14ac:dyDescent="0.35">
      <c r="A16" s="1" t="s">
        <v>17</v>
      </c>
      <c r="B16" s="1">
        <v>0.18513813740551099</v>
      </c>
      <c r="C16" s="1" t="s">
        <v>17</v>
      </c>
      <c r="D16" s="1">
        <v>9.4148874433485297</v>
      </c>
    </row>
    <row r="17" spans="1:4" ht="43.5" x14ac:dyDescent="0.35">
      <c r="A17" s="1" t="s">
        <v>18</v>
      </c>
      <c r="B17" s="1">
        <v>0.18291958569903399</v>
      </c>
      <c r="C17" s="1" t="s">
        <v>18</v>
      </c>
      <c r="D17" s="1">
        <v>9.5342199610622096</v>
      </c>
    </row>
    <row r="19" spans="1:4" x14ac:dyDescent="0.35">
      <c r="A19" s="1"/>
      <c r="B19" s="1"/>
    </row>
    <row r="41" ht="15" customHeigh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456</vt:lpstr>
      <vt:lpstr>894</vt:lpstr>
      <vt:lpstr>Absoprtion coeff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2015-06-05T18:17:20Z</dcterms:created>
  <dcterms:modified xsi:type="dcterms:W3CDTF">2026-04-28T14:12:58Z</dcterms:modified>
</cp:coreProperties>
</file>