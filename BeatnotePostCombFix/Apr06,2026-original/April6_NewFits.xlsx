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CombFix\Apr06,2026\"/>
    </mc:Choice>
  </mc:AlternateContent>
  <xr:revisionPtr revIDLastSave="0" documentId="13_ncr:1_{FAAE0EAB-8882-4CA5-8D74-8117189E0568}" xr6:coauthVersionLast="47" xr6:coauthVersionMax="47" xr10:uidLastSave="{00000000-0000-0000-0000-000000000000}"/>
  <bookViews>
    <workbookView xWindow="28680" yWindow="-120" windowWidth="29040" windowHeight="15720" xr2:uid="{DE27D4D9-8A5E-4A81-9645-FB782B2C9508}"/>
  </bookViews>
  <sheets>
    <sheet name="456" sheetId="1" r:id="rId1"/>
    <sheet name="89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" i="1" l="1"/>
  <c r="K11" i="1" s="1"/>
  <c r="K11" i="2"/>
  <c r="L9" i="2"/>
  <c r="L11" i="2" s="1"/>
  <c r="M9" i="2"/>
  <c r="N9" i="2"/>
  <c r="O9" i="2"/>
  <c r="P9" i="2"/>
  <c r="Q9" i="2"/>
  <c r="L10" i="2"/>
  <c r="M10" i="2"/>
  <c r="N10" i="2"/>
  <c r="O10" i="2"/>
  <c r="P10" i="2"/>
  <c r="Q10" i="2"/>
  <c r="K9" i="2"/>
  <c r="K10" i="2"/>
  <c r="P11" i="2"/>
  <c r="Q11" i="2"/>
  <c r="O11" i="2"/>
  <c r="N11" i="2"/>
  <c r="M11" i="2"/>
  <c r="L9" i="1"/>
  <c r="M9" i="1"/>
  <c r="N9" i="1"/>
  <c r="O9" i="1"/>
  <c r="P9" i="1"/>
  <c r="Q9" i="1"/>
  <c r="L10" i="1"/>
  <c r="M10" i="1"/>
  <c r="N10" i="1"/>
  <c r="O10" i="1"/>
  <c r="P10" i="1"/>
  <c r="Q10" i="1"/>
  <c r="K10" i="1"/>
  <c r="Q11" i="1"/>
  <c r="Q12" i="1" s="1"/>
  <c r="P11" i="1"/>
  <c r="P12" i="1" s="1"/>
  <c r="O11" i="1"/>
  <c r="O12" i="1" s="1"/>
  <c r="N11" i="1"/>
  <c r="N12" i="1" s="1"/>
  <c r="M11" i="1"/>
  <c r="M12" i="1" s="1"/>
  <c r="L11" i="1"/>
  <c r="L12" i="1" s="1"/>
  <c r="K12" i="1" l="1"/>
  <c r="K3" i="2"/>
  <c r="K4" i="2"/>
  <c r="X15" i="1"/>
  <c r="P4" i="1" l="1"/>
  <c r="K4" i="1"/>
  <c r="K3" i="1"/>
  <c r="L4" i="2"/>
  <c r="Q3" i="2"/>
  <c r="Q4" i="2"/>
  <c r="L3" i="2"/>
  <c r="M3" i="2"/>
  <c r="N3" i="2"/>
  <c r="O3" i="2"/>
  <c r="P3" i="2"/>
  <c r="M4" i="2"/>
  <c r="N4" i="2"/>
  <c r="O4" i="2"/>
  <c r="P4" i="2"/>
  <c r="P3" i="1"/>
  <c r="M3" i="1"/>
  <c r="N3" i="1"/>
  <c r="O3" i="1"/>
  <c r="L3" i="1"/>
  <c r="L4" i="1"/>
  <c r="L5" i="1" s="1"/>
  <c r="L6" i="1" s="1"/>
  <c r="M4" i="1"/>
  <c r="N4" i="1"/>
  <c r="O4" i="1"/>
  <c r="Q4" i="1"/>
  <c r="Q3" i="1"/>
  <c r="O5" i="1" l="1"/>
  <c r="O6" i="1" s="1"/>
  <c r="P5" i="1"/>
  <c r="P6" i="1" s="1"/>
  <c r="N6" i="2"/>
  <c r="N5" i="1"/>
  <c r="N6" i="1" s="1"/>
  <c r="M5" i="1"/>
  <c r="M6" i="1" s="1"/>
  <c r="Q5" i="1"/>
  <c r="Q6" i="1" s="1"/>
  <c r="Q6" i="2"/>
  <c r="K5" i="1"/>
  <c r="K6" i="1" s="1"/>
  <c r="P6" i="2"/>
  <c r="O6" i="2"/>
  <c r="M6" i="2"/>
  <c r="L6" i="2"/>
  <c r="K6" i="2"/>
</calcChain>
</file>

<file path=xl/sharedStrings.xml><?xml version="1.0" encoding="utf-8"?>
<sst xmlns="http://schemas.openxmlformats.org/spreadsheetml/2006/main" count="89" uniqueCount="28">
  <si>
    <t>Date</t>
  </si>
  <si>
    <t>Alpha</t>
  </si>
  <si>
    <t>P0</t>
  </si>
  <si>
    <t>h1</t>
  </si>
  <si>
    <t>mv</t>
  </si>
  <si>
    <t>T</t>
  </si>
  <si>
    <t>gamma</t>
  </si>
  <si>
    <t>offset</t>
  </si>
  <si>
    <t>Apr06,2026+2-17-57PM</t>
  </si>
  <si>
    <t>Apr06,2026+2-27-58PM</t>
  </si>
  <si>
    <t>Apr06,2026+2-36-21PM</t>
  </si>
  <si>
    <t>Apr06,2026+2-44-24PM</t>
  </si>
  <si>
    <t>Apr06,2026+3-42-35PM</t>
  </si>
  <si>
    <t>Apr06,2026+3-49-52PM</t>
  </si>
  <si>
    <t>Apr06,2026+3-57-34PM</t>
  </si>
  <si>
    <t>Apr06,2026+4-04-50PM</t>
  </si>
  <si>
    <t>Apr06,2026+4-24-01PM</t>
  </si>
  <si>
    <t>Apr06,2026+4-48-08PM</t>
  </si>
  <si>
    <t>Apr06,2026+4-55-13PM</t>
  </si>
  <si>
    <t>Apr06,2026+5-03-59PM</t>
  </si>
  <si>
    <t>Apr06,2026+5-12-46PM</t>
  </si>
  <si>
    <t>Apr06,2026+5-35-52PM</t>
  </si>
  <si>
    <t>Apr06,2026+6-03-01PM</t>
  </si>
  <si>
    <t>mean</t>
  </si>
  <si>
    <t>std</t>
  </si>
  <si>
    <t>%std/mean</t>
  </si>
  <si>
    <t>Apr06,2026+7-34-24PM</t>
  </si>
  <si>
    <t>%std/mean/sqrt(N)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</si>
</sst>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2" borderId="0" xfId="1" applyAlignment="1">
      <alignment vertical="center" wrapText="1"/>
    </xf>
    <xf numFmtId="0" fontId="3" fillId="4" borderId="0" xfId="3" applyAlignment="1">
      <alignment vertical="center" wrapText="1"/>
    </xf>
    <xf numFmtId="0" fontId="2" fillId="3" borderId="0" xfId="2"/>
    <xf numFmtId="0" fontId="2" fillId="3" borderId="0" xfId="2" applyAlignment="1">
      <alignment vertical="center" wrapText="1"/>
    </xf>
  </cellXfs>
  <cellStyles count="4">
    <cellStyle name="Bad" xfId="1" builtinId="27"/>
    <cellStyle name="Good" xfId="2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'456'!$B$1</c:f>
              <c:strCache>
                <c:ptCount val="1"/>
                <c:pt idx="0">
                  <c:v>Alpha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'456'!$B$2:$B$19</c:f>
              <c:numCache>
                <c:formatCode>General</c:formatCode>
                <c:ptCount val="18"/>
                <c:pt idx="0">
                  <c:v>0.18614747168156801</c:v>
                </c:pt>
                <c:pt idx="1">
                  <c:v>0.18088499516225701</c:v>
                </c:pt>
                <c:pt idx="2">
                  <c:v>0.18153711226980801</c:v>
                </c:pt>
                <c:pt idx="3">
                  <c:v>0.18402670745095501</c:v>
                </c:pt>
                <c:pt idx="4">
                  <c:v>0.17732136403906101</c:v>
                </c:pt>
                <c:pt idx="5">
                  <c:v>0.18120694450344099</c:v>
                </c:pt>
                <c:pt idx="6">
                  <c:v>0.18339176159659801</c:v>
                </c:pt>
                <c:pt idx="7">
                  <c:v>0.181183097514765</c:v>
                </c:pt>
                <c:pt idx="8">
                  <c:v>0.18090793453416901</c:v>
                </c:pt>
                <c:pt idx="9">
                  <c:v>0.18325897964031501</c:v>
                </c:pt>
                <c:pt idx="10">
                  <c:v>0.18580392595260101</c:v>
                </c:pt>
                <c:pt idx="11">
                  <c:v>0.180201133757182</c:v>
                </c:pt>
                <c:pt idx="12">
                  <c:v>0.18290007334876601</c:v>
                </c:pt>
                <c:pt idx="13">
                  <c:v>0.182602020359554</c:v>
                </c:pt>
                <c:pt idx="14">
                  <c:v>0.17930907427498799</c:v>
                </c:pt>
                <c:pt idx="15">
                  <c:v>0.18512005298819501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D0-4D4C-BEE4-38197C024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580239"/>
        <c:axId val="1047191776"/>
      </c:scatterChart>
      <c:valAx>
        <c:axId val="38358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91776"/>
        <c:crosses val="autoZero"/>
        <c:crossBetween val="midCat"/>
      </c:valAx>
      <c:valAx>
        <c:axId val="104719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8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'894'!$B$2:$B$16</c:f>
              <c:numCache>
                <c:formatCode>General</c:formatCode>
                <c:ptCount val="15"/>
                <c:pt idx="0">
                  <c:v>9.5841418161231999</c:v>
                </c:pt>
                <c:pt idx="1">
                  <c:v>9.5479162076406308</c:v>
                </c:pt>
                <c:pt idx="2">
                  <c:v>9.5970818557036903</c:v>
                </c:pt>
                <c:pt idx="3">
                  <c:v>9.6530520447482893</c:v>
                </c:pt>
                <c:pt idx="4">
                  <c:v>9.6819878150686591</c:v>
                </c:pt>
                <c:pt idx="5">
                  <c:v>9.4147266289739004</c:v>
                </c:pt>
                <c:pt idx="6">
                  <c:v>9.4032352418695897</c:v>
                </c:pt>
                <c:pt idx="7">
                  <c:v>9.6256080694206307</c:v>
                </c:pt>
                <c:pt idx="8">
                  <c:v>9.5977887849237504</c:v>
                </c:pt>
                <c:pt idx="9">
                  <c:v>9.6309507973488007</c:v>
                </c:pt>
                <c:pt idx="10">
                  <c:v>9.6918732409243802</c:v>
                </c:pt>
                <c:pt idx="11">
                  <c:v>9.6305150634299395</c:v>
                </c:pt>
                <c:pt idx="12">
                  <c:v>9.6063579809933497</c:v>
                </c:pt>
                <c:pt idx="13">
                  <c:v>9.6719050694518494</c:v>
                </c:pt>
                <c:pt idx="14">
                  <c:v>9.41492632073642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CE-45BD-A267-24CD3A5B1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398240"/>
        <c:axId val="1229398720"/>
      </c:scatterChart>
      <c:valAx>
        <c:axId val="122939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398720"/>
        <c:crosses val="autoZero"/>
        <c:crossBetween val="midCat"/>
      </c:valAx>
      <c:valAx>
        <c:axId val="122939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39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'894'!$D$2:$D$16</c:f>
              <c:numCache>
                <c:formatCode>General</c:formatCode>
                <c:ptCount val="15"/>
                <c:pt idx="0">
                  <c:v>-1.14062824653226E-3</c:v>
                </c:pt>
                <c:pt idx="1">
                  <c:v>-9.7420467527509203E-4</c:v>
                </c:pt>
                <c:pt idx="2">
                  <c:v>-9.6777866324870702E-4</c:v>
                </c:pt>
                <c:pt idx="3">
                  <c:v>-9.3335255440172595E-4</c:v>
                </c:pt>
                <c:pt idx="4">
                  <c:v>-1.47614749092091E-3</c:v>
                </c:pt>
                <c:pt idx="5">
                  <c:v>-4.3491298821636999E-3</c:v>
                </c:pt>
                <c:pt idx="6">
                  <c:v>-1.3556538391969299E-3</c:v>
                </c:pt>
                <c:pt idx="7">
                  <c:v>-1.3557706726415901E-3</c:v>
                </c:pt>
                <c:pt idx="8">
                  <c:v>-2.0224711289164501E-3</c:v>
                </c:pt>
                <c:pt idx="9">
                  <c:v>-1.6396888009149999E-3</c:v>
                </c:pt>
                <c:pt idx="10">
                  <c:v>-1.5183837562695E-3</c:v>
                </c:pt>
                <c:pt idx="11">
                  <c:v>-1.18803906382221E-3</c:v>
                </c:pt>
                <c:pt idx="12">
                  <c:v>-1.3733091894724001E-3</c:v>
                </c:pt>
                <c:pt idx="13">
                  <c:v>-7.4099941619947202E-4</c:v>
                </c:pt>
                <c:pt idx="14">
                  <c:v>-3.3047730585067001E-4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50-4C82-919A-308B8B0A1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604815"/>
        <c:axId val="1084605775"/>
      </c:scatterChart>
      <c:valAx>
        <c:axId val="108460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605775"/>
        <c:crosses val="autoZero"/>
        <c:crossBetween val="midCat"/>
      </c:valAx>
      <c:valAx>
        <c:axId val="108460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604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577850</xdr:colOff>
      <xdr:row>13</xdr:row>
      <xdr:rowOff>161924</xdr:rowOff>
    </xdr:from>
    <xdr:to>
      <xdr:col>16</xdr:col>
      <xdr:colOff>83535</xdr:colOff>
      <xdr:row>33</xdr:row>
      <xdr:rowOff>31311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BA5F1-EBFD-CB93-E7DB-E2052BD72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330200</xdr:colOff>
      <xdr:row>3</xdr:row>
      <xdr:rowOff>349250</xdr:rowOff>
    </xdr:from>
    <xdr:to>
      <xdr:col>25</xdr:col>
      <xdr:colOff>666750</xdr:colOff>
      <xdr:row>8</xdr:row>
      <xdr:rowOff>327025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3D740C-098D-1796-94EB-4DAA9433A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581025</xdr:colOff>
      <xdr:row>8</xdr:row>
      <xdr:rowOff>276225</xdr:rowOff>
    </xdr:from>
    <xdr:to>
      <xdr:col>33</xdr:col>
      <xdr:colOff>276225</xdr:colOff>
      <xdr:row>13</xdr:row>
      <xdr:rowOff>257175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5D5181-B5C4-A7D7-6838-2B0731225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67E67-BE51-40B6-BF6A-AB076C1A076C}">
  <dimension ref="A1:X19"/>
  <sheetViews>
    <sheetView tabSelected="1" zoomScaleNormal="100" workbookViewId="0">
      <selection activeCell="K10" sqref="K10"/>
    </sheetView>
  </sheetViews>
  <sheetFormatPr defaultRowHeight="14.25"/>
  <cols>
    <col min="1" max="1" width="28" customWidth="1"/>
    <col min="2" max="2" width="17.625" customWidth="1"/>
    <col min="3" max="3" width="11.5" bestFit="1" customWidth="1"/>
    <col min="4" max="4" width="12.125" bestFit="1" customWidth="1"/>
    <col min="5" max="5" width="11.375" bestFit="1" customWidth="1"/>
    <col min="6" max="6" width="11.5" bestFit="1" customWidth="1"/>
    <col min="7" max="7" width="10.5" bestFit="1" customWidth="1"/>
    <col min="8" max="8" width="11.5" bestFit="1" customWidth="1"/>
    <col min="10" max="10" width="16.5" customWidth="1"/>
    <col min="16" max="16" width="12.25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4">
      <c r="A2" s="1" t="s">
        <v>8</v>
      </c>
      <c r="B2" s="1">
        <v>0.18614747168156801</v>
      </c>
      <c r="C2" s="1">
        <v>1.33328520972755</v>
      </c>
      <c r="D2" s="1">
        <v>-1.4937317203407899E-3</v>
      </c>
      <c r="E2" s="1">
        <v>3.4005506126645799</v>
      </c>
      <c r="F2" s="1">
        <v>44.310344330615202</v>
      </c>
      <c r="G2" s="1">
        <v>7.5215001461198105E-4</v>
      </c>
      <c r="H2" s="1">
        <v>6.5217247454024503E-3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</row>
    <row r="3" spans="1:24">
      <c r="A3" s="1" t="s">
        <v>9</v>
      </c>
      <c r="B3" s="1">
        <v>0.18088499516225701</v>
      </c>
      <c r="C3" s="1">
        <v>1.33298474387856</v>
      </c>
      <c r="D3" s="1">
        <v>-1.39002805784826E-3</v>
      </c>
      <c r="E3" s="1">
        <v>3.1387724573539999</v>
      </c>
      <c r="F3" s="1">
        <v>40.3506593710799</v>
      </c>
      <c r="G3" s="1">
        <v>7.5215001461198105E-4</v>
      </c>
      <c r="H3" s="1">
        <v>5.9524002287284303E-3</v>
      </c>
      <c r="J3" t="s">
        <v>23</v>
      </c>
      <c r="K3">
        <f t="shared" ref="K3:Q3" si="0">AVERAGE(B2:B19)</f>
        <v>0.18223766556713897</v>
      </c>
      <c r="L3">
        <f t="shared" si="0"/>
        <v>1.3311203169335977</v>
      </c>
      <c r="M3">
        <f t="shared" si="0"/>
        <v>-1.3598659716220023E-3</v>
      </c>
      <c r="N3">
        <f t="shared" si="0"/>
        <v>2.4215668828125128</v>
      </c>
      <c r="O3">
        <f t="shared" si="0"/>
        <v>41.813359767150573</v>
      </c>
      <c r="P3">
        <f t="shared" si="0"/>
        <v>7.5215001461198126E-4</v>
      </c>
      <c r="Q3">
        <f t="shared" si="0"/>
        <v>6.4051330433753505E-3</v>
      </c>
    </row>
    <row r="4" spans="1:24">
      <c r="A4" s="1" t="s">
        <v>10</v>
      </c>
      <c r="B4" s="1">
        <v>0.18153711226980801</v>
      </c>
      <c r="C4" s="1">
        <v>1.3325549620741699</v>
      </c>
      <c r="D4" s="1">
        <v>-1.4644621604041599E-3</v>
      </c>
      <c r="E4" s="1">
        <v>3.4044742171142302</v>
      </c>
      <c r="F4" s="1">
        <v>40.5834779366077</v>
      </c>
      <c r="G4" s="1">
        <v>7.5215001461198105E-4</v>
      </c>
      <c r="H4" s="1">
        <v>5.7833937165545097E-3</v>
      </c>
      <c r="J4" t="s">
        <v>24</v>
      </c>
      <c r="K4">
        <f>_xlfn.STDEV.S(B2:B19)</f>
        <v>2.3891070800752673E-3</v>
      </c>
      <c r="L4">
        <f>_xlfn.STDEV.S(C2:C19)</f>
        <v>1.8024952020104822E-3</v>
      </c>
      <c r="M4">
        <f>_xlfn.STDEV.S(D2:D19)</f>
        <v>2.4199739957559942E-4</v>
      </c>
      <c r="N4">
        <f>_xlfn.STDEV.S(E2:E19)</f>
        <v>0.67840789422082537</v>
      </c>
      <c r="O4">
        <f>_xlfn.STDEV.S(F2:F19)</f>
        <v>1.7319375480604533</v>
      </c>
      <c r="P4">
        <f>_xlfn.STDEV.S(G2:G17)</f>
        <v>2.2395183775777384E-19</v>
      </c>
      <c r="Q4">
        <f>_xlfn.STDEV.S(H2:H19)</f>
        <v>1.0350004003727045E-3</v>
      </c>
    </row>
    <row r="5" spans="1:24">
      <c r="A5" s="1" t="s">
        <v>11</v>
      </c>
      <c r="B5" s="1">
        <v>0.18402670745095501</v>
      </c>
      <c r="C5" s="1">
        <v>1.3314071423359499</v>
      </c>
      <c r="D5" s="1">
        <v>-1.3348364712492801E-3</v>
      </c>
      <c r="E5" s="1">
        <v>2.8956538863906398</v>
      </c>
      <c r="F5" s="1">
        <v>43.713071228970598</v>
      </c>
      <c r="G5" s="1">
        <v>7.5215001461198105E-4</v>
      </c>
      <c r="H5" s="1">
        <v>5.6772585844044104E-3</v>
      </c>
      <c r="J5" t="s">
        <v>25</v>
      </c>
      <c r="K5">
        <f t="shared" ref="K5:Q5" si="1">K4/K3*100</f>
        <v>1.3109842428238778</v>
      </c>
      <c r="L5">
        <f t="shared" si="1"/>
        <v>0.13541189170358062</v>
      </c>
      <c r="M5">
        <f t="shared" si="1"/>
        <v>-17.795680208612989</v>
      </c>
      <c r="N5">
        <f t="shared" si="1"/>
        <v>28.015244965395837</v>
      </c>
      <c r="O5">
        <f t="shared" si="1"/>
        <v>4.1420674102852137</v>
      </c>
      <c r="P5">
        <f t="shared" si="1"/>
        <v>2.9774889770268235E-14</v>
      </c>
      <c r="Q5">
        <f t="shared" si="1"/>
        <v>16.15892118655016</v>
      </c>
    </row>
    <row r="6" spans="1:24">
      <c r="A6" s="1" t="s">
        <v>12</v>
      </c>
      <c r="B6" s="1">
        <v>0.17732136403906101</v>
      </c>
      <c r="C6" s="1">
        <v>1.33311020682111</v>
      </c>
      <c r="D6" s="1">
        <v>-1.64705956528337E-3</v>
      </c>
      <c r="E6" s="1">
        <v>1.89910000310951</v>
      </c>
      <c r="F6" s="1">
        <v>40.4909743477088</v>
      </c>
      <c r="G6" s="1">
        <v>7.5215001461198105E-4</v>
      </c>
      <c r="H6" s="1">
        <v>5.2723851850779201E-3</v>
      </c>
      <c r="J6" t="s">
        <v>27</v>
      </c>
      <c r="K6">
        <f>K5/SQRT(16)</f>
        <v>0.32774606070596946</v>
      </c>
      <c r="L6">
        <f t="shared" ref="L6:Q6" si="2">L5/SQRT(16)</f>
        <v>3.3852972925895154E-2</v>
      </c>
      <c r="M6">
        <f t="shared" si="2"/>
        <v>-4.4489200521532473</v>
      </c>
      <c r="N6">
        <f t="shared" si="2"/>
        <v>7.0038112413489593</v>
      </c>
      <c r="O6">
        <f t="shared" si="2"/>
        <v>1.0355168525713034</v>
      </c>
      <c r="P6">
        <f t="shared" si="2"/>
        <v>7.4437224425670588E-15</v>
      </c>
      <c r="Q6">
        <f t="shared" si="2"/>
        <v>4.0397302966375399</v>
      </c>
    </row>
    <row r="7" spans="1:24">
      <c r="A7" s="2" t="s">
        <v>13</v>
      </c>
      <c r="B7" s="2">
        <v>0.18120694450344099</v>
      </c>
      <c r="C7" s="2">
        <v>1.3314337765094799</v>
      </c>
      <c r="D7" s="2">
        <v>-7.1625116325157502E-4</v>
      </c>
      <c r="E7" s="2">
        <v>3.3523854443785299</v>
      </c>
      <c r="F7" s="2">
        <v>40.4387541848401</v>
      </c>
      <c r="G7" s="2">
        <v>7.5215001461198105E-4</v>
      </c>
      <c r="H7" s="2">
        <v>5.7736330999529802E-3</v>
      </c>
    </row>
    <row r="8" spans="1:24">
      <c r="A8" s="2" t="s">
        <v>14</v>
      </c>
      <c r="B8" s="2">
        <v>0.18339176159659801</v>
      </c>
      <c r="C8" s="2">
        <v>1.33218831237308</v>
      </c>
      <c r="D8" s="2">
        <v>-1.37990713885699E-3</v>
      </c>
      <c r="E8" s="2">
        <v>2.4004485807738298</v>
      </c>
      <c r="F8" s="2">
        <v>40.379300673643698</v>
      </c>
      <c r="G8" s="2">
        <v>7.5215001461198105E-4</v>
      </c>
      <c r="H8" s="2">
        <v>5.4820542543049999E-3</v>
      </c>
      <c r="J8" s="4"/>
      <c r="K8" s="5" t="s">
        <v>1</v>
      </c>
      <c r="L8" s="5" t="s">
        <v>2</v>
      </c>
      <c r="M8" s="5" t="s">
        <v>3</v>
      </c>
      <c r="N8" s="5" t="s">
        <v>4</v>
      </c>
      <c r="O8" s="5" t="s">
        <v>5</v>
      </c>
      <c r="P8" s="5" t="s">
        <v>6</v>
      </c>
      <c r="Q8" s="5" t="s">
        <v>7</v>
      </c>
    </row>
    <row r="9" spans="1:24">
      <c r="A9" s="1" t="s">
        <v>15</v>
      </c>
      <c r="B9" s="1">
        <v>0.181183097514765</v>
      </c>
      <c r="C9" s="1">
        <v>1.33206413561314</v>
      </c>
      <c r="D9" s="1">
        <v>-1.0364641726458E-3</v>
      </c>
      <c r="E9" s="1">
        <v>2.3975620521279501</v>
      </c>
      <c r="F9" s="1">
        <v>40.377125357253199</v>
      </c>
      <c r="G9" s="1">
        <v>7.5215001461198105E-4</v>
      </c>
      <c r="H9" s="1">
        <v>5.3264612042161E-3</v>
      </c>
      <c r="J9" s="4" t="s">
        <v>23</v>
      </c>
      <c r="K9" s="4">
        <f>AVERAGE(B2:B6,B9:B15)</f>
        <v>0.18223123464258348</v>
      </c>
      <c r="L9" s="4">
        <f t="shared" ref="L9:Q9" si="3">AVERAGE(C2:C6,C9:C15)</f>
        <v>1.3315736860131067</v>
      </c>
      <c r="M9" s="4">
        <f t="shared" si="3"/>
        <v>-1.4244675461433968E-3</v>
      </c>
      <c r="N9" s="4">
        <f t="shared" si="3"/>
        <v>2.3897641086739023</v>
      </c>
      <c r="O9" s="4">
        <f t="shared" si="3"/>
        <v>41.816801047398563</v>
      </c>
      <c r="P9" s="4">
        <f t="shared" si="3"/>
        <v>7.5215001461198105E-4</v>
      </c>
      <c r="Q9" s="4">
        <f t="shared" si="3"/>
        <v>6.3296005515186861E-3</v>
      </c>
    </row>
    <row r="10" spans="1:24">
      <c r="A10" s="1" t="s">
        <v>16</v>
      </c>
      <c r="B10" s="1">
        <v>0.18090793453416901</v>
      </c>
      <c r="C10" s="1">
        <v>1.33089470745609</v>
      </c>
      <c r="D10" s="1">
        <v>-1.3312959529161901E-3</v>
      </c>
      <c r="E10" s="1">
        <v>2.6524330185899698</v>
      </c>
      <c r="F10" s="1">
        <v>41.1865899985862</v>
      </c>
      <c r="G10" s="1">
        <v>7.5215001461198105E-4</v>
      </c>
      <c r="H10" s="1">
        <v>7.7412677657778999E-3</v>
      </c>
      <c r="J10" s="4" t="s">
        <v>24</v>
      </c>
      <c r="K10" s="4">
        <f>_xlfn.STDEV.S(B2:B6,B9:B15)</f>
        <v>2.455751422895953E-3</v>
      </c>
      <c r="L10" s="4">
        <f t="shared" ref="L10:Q10" si="4">_xlfn.STDEV.S(C2:C6,C9:C15)</f>
        <v>1.4064247882405341E-3</v>
      </c>
      <c r="M10" s="4">
        <f t="shared" si="4"/>
        <v>1.902305921248247E-4</v>
      </c>
      <c r="N10" s="4">
        <f t="shared" si="4"/>
        <v>0.69967355315699598</v>
      </c>
      <c r="O10" s="4">
        <f t="shared" si="4"/>
        <v>1.7875948689722638</v>
      </c>
      <c r="P10" s="4">
        <f t="shared" si="4"/>
        <v>0</v>
      </c>
      <c r="Q10" s="4">
        <f t="shared" si="4"/>
        <v>1.0319207384430055E-3</v>
      </c>
    </row>
    <row r="11" spans="1:24">
      <c r="A11" s="1" t="s">
        <v>17</v>
      </c>
      <c r="B11" s="1">
        <v>0.18325897964031501</v>
      </c>
      <c r="C11" s="1">
        <v>1.33157444358874</v>
      </c>
      <c r="D11" s="1">
        <v>-1.7526191789225599E-3</v>
      </c>
      <c r="E11" s="1">
        <v>1.89337450034243</v>
      </c>
      <c r="F11" s="1">
        <v>44.395203433110098</v>
      </c>
      <c r="G11" s="1">
        <v>7.5215001461198105E-4</v>
      </c>
      <c r="H11" s="1">
        <v>7.62516583333779E-3</v>
      </c>
      <c r="J11" s="4" t="s">
        <v>25</v>
      </c>
      <c r="K11" s="4">
        <f>K10/K9*100</f>
        <v>1.3476018135488708</v>
      </c>
      <c r="L11" s="4">
        <f t="shared" ref="K11:Q11" si="5">L10/L9*100</f>
        <v>0.10562125123180684</v>
      </c>
      <c r="M11" s="4">
        <f t="shared" si="5"/>
        <v>-13.35450517211536</v>
      </c>
      <c r="N11" s="4">
        <f t="shared" si="5"/>
        <v>29.27793377670443</v>
      </c>
      <c r="O11" s="4">
        <f t="shared" si="5"/>
        <v>4.2748245303270771</v>
      </c>
      <c r="P11" s="4">
        <f t="shared" si="5"/>
        <v>0</v>
      </c>
      <c r="Q11" s="4">
        <f t="shared" si="5"/>
        <v>16.303094169116449</v>
      </c>
    </row>
    <row r="12" spans="1:24">
      <c r="A12" s="1" t="s">
        <v>18</v>
      </c>
      <c r="B12" s="1">
        <v>0.18580392595260101</v>
      </c>
      <c r="C12" s="1">
        <v>1.33128673855079</v>
      </c>
      <c r="D12" s="1">
        <v>-1.4783623546711299E-3</v>
      </c>
      <c r="E12" s="1">
        <v>2.1008378151564</v>
      </c>
      <c r="F12" s="1">
        <v>44.411793989096303</v>
      </c>
      <c r="G12" s="1">
        <v>7.5215001461198105E-4</v>
      </c>
      <c r="H12" s="1">
        <v>7.3898611584532698E-3</v>
      </c>
      <c r="J12" s="4" t="s">
        <v>27</v>
      </c>
      <c r="K12" s="4">
        <f>K11/SQRT(16)</f>
        <v>0.33690045338721769</v>
      </c>
      <c r="L12" s="4">
        <f t="shared" ref="L12:Q12" si="6">L11/SQRT(16)</f>
        <v>2.6405312807951709E-2</v>
      </c>
      <c r="M12" s="4">
        <f t="shared" si="6"/>
        <v>-3.33862629302884</v>
      </c>
      <c r="N12" s="4">
        <f t="shared" si="6"/>
        <v>7.3194834441761074</v>
      </c>
      <c r="O12" s="4">
        <f t="shared" si="6"/>
        <v>1.0687061325817693</v>
      </c>
      <c r="P12" s="4">
        <f t="shared" si="6"/>
        <v>0</v>
      </c>
      <c r="Q12" s="4">
        <f t="shared" si="6"/>
        <v>4.0757735422791121</v>
      </c>
    </row>
    <row r="13" spans="1:24">
      <c r="A13" s="1" t="s">
        <v>19</v>
      </c>
      <c r="B13" s="1">
        <v>0.180201133757182</v>
      </c>
      <c r="C13" s="1">
        <v>1.3314117649141399</v>
      </c>
      <c r="D13" s="1">
        <v>-1.54257416307193E-3</v>
      </c>
      <c r="E13" s="1">
        <v>1.35044073479195</v>
      </c>
      <c r="F13" s="1">
        <v>40.518455529204999</v>
      </c>
      <c r="G13" s="1">
        <v>7.5215001461198105E-4</v>
      </c>
      <c r="H13" s="1">
        <v>5.4621766338067397E-3</v>
      </c>
    </row>
    <row r="14" spans="1:24">
      <c r="A14" s="1" t="s">
        <v>20</v>
      </c>
      <c r="B14" s="1">
        <v>0.18290007334876601</v>
      </c>
      <c r="C14" s="1">
        <v>1.3284561370082599</v>
      </c>
      <c r="D14" s="1">
        <v>-1.20286223178069E-3</v>
      </c>
      <c r="E14" s="1">
        <v>1.90145847481866</v>
      </c>
      <c r="F14" s="1">
        <v>40.823964334042302</v>
      </c>
      <c r="G14" s="1">
        <v>7.5215001461198105E-4</v>
      </c>
      <c r="H14" s="1">
        <v>7.8243799858341203E-3</v>
      </c>
    </row>
    <row r="15" spans="1:24">
      <c r="A15" s="1" t="s">
        <v>21</v>
      </c>
      <c r="B15" s="1">
        <v>0.182602020359554</v>
      </c>
      <c r="C15" s="1">
        <v>1.32985404018878</v>
      </c>
      <c r="D15" s="1">
        <v>-1.4193145245865999E-3</v>
      </c>
      <c r="E15" s="1">
        <v>1.64251153162651</v>
      </c>
      <c r="F15" s="1">
        <v>40.639952712507501</v>
      </c>
      <c r="G15" s="1">
        <v>7.5215001461198105E-4</v>
      </c>
      <c r="H15" s="1">
        <v>5.3787315766305899E-3</v>
      </c>
      <c r="X15">
        <f>COUNT(B2:B17)</f>
        <v>16</v>
      </c>
    </row>
    <row r="16" spans="1:24">
      <c r="A16" s="3" t="s">
        <v>22</v>
      </c>
      <c r="B16" s="3">
        <v>0.17930907427498799</v>
      </c>
      <c r="C16" s="3">
        <v>1.32774141310028</v>
      </c>
      <c r="D16" s="3">
        <v>-1.2384555806072999E-3</v>
      </c>
      <c r="E16" s="3">
        <v>1.65745758544111</v>
      </c>
      <c r="F16" s="3">
        <v>42.1801149943445</v>
      </c>
      <c r="G16" s="3">
        <v>7.5215001461198105E-4</v>
      </c>
      <c r="H16" s="3">
        <v>7.5747441774043902E-3</v>
      </c>
    </row>
    <row r="17" spans="1:8">
      <c r="A17" s="2" t="s">
        <v>26</v>
      </c>
      <c r="B17" s="2">
        <v>0.18512005298819501</v>
      </c>
      <c r="C17" s="2">
        <v>1.3276773367974399</v>
      </c>
      <c r="D17" s="2">
        <v>-1.3296311095154099E-3</v>
      </c>
      <c r="E17" s="2">
        <v>2.6576092103199098</v>
      </c>
      <c r="F17" s="2">
        <v>44.213973852798098</v>
      </c>
      <c r="G17" s="2">
        <v>7.5215001461198105E-4</v>
      </c>
      <c r="H17" s="2">
        <v>7.6964905441190001E-3</v>
      </c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9FFC7-3DA5-4057-863B-C101A2BD7DDC}">
  <dimension ref="A1:Q16"/>
  <sheetViews>
    <sheetView workbookViewId="0">
      <selection activeCell="J8" sqref="J8:Q11"/>
    </sheetView>
  </sheetViews>
  <sheetFormatPr defaultRowHeight="14.25"/>
  <cols>
    <col min="1" max="1" width="8.75" customWidth="1"/>
    <col min="2" max="3" width="11.375" bestFit="1" customWidth="1"/>
    <col min="4" max="4" width="12" bestFit="1" customWidth="1"/>
    <col min="5" max="6" width="11.375" bestFit="1" customWidth="1"/>
    <col min="7" max="7" width="9.375" bestFit="1" customWidth="1"/>
    <col min="8" max="8" width="11.375" bestFit="1" customWidth="1"/>
    <col min="10" max="10" width="11" customWidth="1"/>
    <col min="16" max="16" width="15.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7" ht="42.75">
      <c r="A2" s="1" t="s">
        <v>8</v>
      </c>
      <c r="B2" s="1">
        <v>9.5841418161231999</v>
      </c>
      <c r="C2" s="1">
        <v>1.16785616842497</v>
      </c>
      <c r="D2" s="1">
        <v>-1.14062824653226E-3</v>
      </c>
      <c r="E2" s="1">
        <v>2.8625496556513701</v>
      </c>
      <c r="F2" s="1">
        <v>42.367934428925402</v>
      </c>
      <c r="G2" s="1">
        <v>2.2873004957014E-3</v>
      </c>
      <c r="H2" s="1">
        <v>3.91488810011313E-2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</row>
    <row r="3" spans="1:17" ht="42.75">
      <c r="A3" s="1" t="s">
        <v>9</v>
      </c>
      <c r="B3" s="1">
        <v>9.5479162076406308</v>
      </c>
      <c r="C3" s="1">
        <v>1.1666630967512499</v>
      </c>
      <c r="D3" s="1">
        <v>-9.7420467527509203E-4</v>
      </c>
      <c r="E3" s="1">
        <v>2.8621893012066901</v>
      </c>
      <c r="F3" s="1">
        <v>41.845628511382401</v>
      </c>
      <c r="G3" s="1">
        <v>2.2873004957014E-3</v>
      </c>
      <c r="H3" s="1">
        <v>3.8679785210545499E-2</v>
      </c>
      <c r="J3" t="s">
        <v>23</v>
      </c>
      <c r="K3">
        <f>AVERAGE(B2:B8,B9:B16)</f>
        <v>9.5834711291571395</v>
      </c>
      <c r="L3">
        <f t="shared" ref="L3:Q3" si="0">AVERAGE(C2:C8,C9:C15)</f>
        <v>1.162153889491518</v>
      </c>
      <c r="M3">
        <f t="shared" si="0"/>
        <v>-1.5025398128554247E-3</v>
      </c>
      <c r="N3">
        <f t="shared" si="0"/>
        <v>2.6608399668835325</v>
      </c>
      <c r="O3">
        <f t="shared" si="0"/>
        <v>42.320636854563752</v>
      </c>
      <c r="P3">
        <f t="shared" si="0"/>
        <v>2.2873004957013996E-3</v>
      </c>
      <c r="Q3">
        <f t="shared" si="0"/>
        <v>3.9599068935265838E-2</v>
      </c>
    </row>
    <row r="4" spans="1:17" ht="42.75">
      <c r="A4" s="1" t="s">
        <v>10</v>
      </c>
      <c r="B4" s="1">
        <v>9.5970818557036903</v>
      </c>
      <c r="C4" s="1">
        <v>1.16654765543585</v>
      </c>
      <c r="D4" s="1">
        <v>-9.6777866324870702E-4</v>
      </c>
      <c r="E4" s="1">
        <v>2.8626461951264801</v>
      </c>
      <c r="F4" s="1">
        <v>41.752318570743903</v>
      </c>
      <c r="G4" s="1">
        <v>2.2873004957014E-3</v>
      </c>
      <c r="H4" s="1">
        <v>3.84371836522455E-2</v>
      </c>
      <c r="J4" t="s">
        <v>24</v>
      </c>
      <c r="K4">
        <f>_xlfn.STDEV.S(B2:B8,B9:B16)</f>
        <v>9.7066723913118894E-2</v>
      </c>
      <c r="L4">
        <f t="shared" ref="L4:Q4" si="1">_xlfn.STDEV.S(C2:C8,C9:C15)</f>
        <v>5.3432058427090486E-3</v>
      </c>
      <c r="M4">
        <f t="shared" si="1"/>
        <v>8.83693924068583E-4</v>
      </c>
      <c r="N4">
        <f t="shared" si="1"/>
        <v>0.47761963009070002</v>
      </c>
      <c r="O4">
        <f t="shared" si="1"/>
        <v>0.99692067221831782</v>
      </c>
      <c r="P4">
        <f t="shared" si="1"/>
        <v>4.5005190690732244E-19</v>
      </c>
      <c r="Q4">
        <f t="shared" si="1"/>
        <v>8.4798007481810031E-4</v>
      </c>
    </row>
    <row r="5" spans="1:17" ht="42.75">
      <c r="A5" s="1" t="s">
        <v>11</v>
      </c>
      <c r="B5" s="1">
        <v>9.6530520447482893</v>
      </c>
      <c r="C5" s="1">
        <v>1.1657607552079901</v>
      </c>
      <c r="D5" s="1">
        <v>-9.3335255440172595E-4</v>
      </c>
      <c r="E5" s="1">
        <v>2.8626152835991898</v>
      </c>
      <c r="F5" s="1">
        <v>40.327786763297198</v>
      </c>
      <c r="G5" s="1">
        <v>2.2873004957014E-3</v>
      </c>
      <c r="H5" s="1">
        <v>3.88277049890592E-2</v>
      </c>
    </row>
    <row r="6" spans="1:17" ht="42.75">
      <c r="A6" s="1" t="s">
        <v>12</v>
      </c>
      <c r="B6" s="1">
        <v>9.6819878150686591</v>
      </c>
      <c r="C6" s="1">
        <v>1.16566651091161</v>
      </c>
      <c r="D6" s="1">
        <v>-1.47614749092091E-3</v>
      </c>
      <c r="E6" s="1">
        <v>2.8608294081244998</v>
      </c>
      <c r="F6" s="1">
        <v>42.722775088650103</v>
      </c>
      <c r="G6" s="1">
        <v>2.2873004957014E-3</v>
      </c>
      <c r="H6" s="1">
        <v>4.0980222460392603E-2</v>
      </c>
      <c r="J6" t="s">
        <v>25</v>
      </c>
      <c r="K6">
        <f>K4/K3*100</f>
        <v>1.0128555990302843</v>
      </c>
      <c r="L6">
        <f>L4/L3*100</f>
        <v>0.45976749645839793</v>
      </c>
      <c r="M6">
        <f>M4/M3*100</f>
        <v>-58.813345011418519</v>
      </c>
      <c r="N6">
        <f t="shared" ref="N6:Q6" si="2">N4/N3*100</f>
        <v>17.949957007377058</v>
      </c>
      <c r="O6">
        <f t="shared" si="2"/>
        <v>2.3556372170018807</v>
      </c>
      <c r="P6">
        <f t="shared" si="2"/>
        <v>1.9676116354327736E-14</v>
      </c>
      <c r="Q6">
        <f t="shared" si="2"/>
        <v>2.1414141736623322</v>
      </c>
    </row>
    <row r="7" spans="1:17" ht="42.75">
      <c r="A7" s="2" t="s">
        <v>13</v>
      </c>
      <c r="B7" s="2">
        <v>9.4147266289739004</v>
      </c>
      <c r="C7" s="2">
        <v>1.1679678092972301</v>
      </c>
      <c r="D7" s="2">
        <v>-4.3491298821636999E-3</v>
      </c>
      <c r="E7" s="2">
        <v>1.8619396151332199</v>
      </c>
      <c r="F7" s="2">
        <v>42.662536521697398</v>
      </c>
      <c r="G7" s="2">
        <v>2.2873004957014E-3</v>
      </c>
      <c r="H7" s="2">
        <v>3.8909036436339001E-2</v>
      </c>
    </row>
    <row r="8" spans="1:17" ht="42.75">
      <c r="A8" s="2" t="s">
        <v>14</v>
      </c>
      <c r="B8" s="2">
        <v>9.4032352418695897</v>
      </c>
      <c r="C8" s="2">
        <v>1.1659047305246999</v>
      </c>
      <c r="D8" s="2">
        <v>-1.3556538391969299E-3</v>
      </c>
      <c r="E8" s="2">
        <v>3.0420366503296501</v>
      </c>
      <c r="F8" s="2">
        <v>44.111988275224697</v>
      </c>
      <c r="G8" s="2">
        <v>2.2873004957014E-3</v>
      </c>
      <c r="H8" s="2">
        <v>3.8407947485241803E-2</v>
      </c>
      <c r="J8" s="4"/>
      <c r="K8" s="5" t="s">
        <v>1</v>
      </c>
      <c r="L8" s="5" t="s">
        <v>2</v>
      </c>
      <c r="M8" s="5" t="s">
        <v>3</v>
      </c>
      <c r="N8" s="5" t="s">
        <v>4</v>
      </c>
      <c r="O8" s="5" t="s">
        <v>5</v>
      </c>
      <c r="P8" s="5" t="s">
        <v>6</v>
      </c>
      <c r="Q8" s="5" t="s">
        <v>7</v>
      </c>
    </row>
    <row r="9" spans="1:17" ht="42.75">
      <c r="A9" s="1" t="s">
        <v>15</v>
      </c>
      <c r="B9" s="1">
        <v>9.6256080694206307</v>
      </c>
      <c r="C9" s="1">
        <v>1.16312872806588</v>
      </c>
      <c r="D9" s="1">
        <v>-1.3557706726415901E-3</v>
      </c>
      <c r="E9" s="1">
        <v>2.8622869621451601</v>
      </c>
      <c r="F9" s="1">
        <v>42.204033591397703</v>
      </c>
      <c r="G9" s="1">
        <v>2.2873004957014E-3</v>
      </c>
      <c r="H9" s="1">
        <v>4.0124607725458297E-2</v>
      </c>
      <c r="J9" s="4" t="s">
        <v>23</v>
      </c>
      <c r="K9" s="4">
        <f>AVERAGE(B2:B6,B9:B15)</f>
        <v>9.6265982288147658</v>
      </c>
      <c r="L9" s="4">
        <f>AVERAGE(C2:C6,C9:C15)</f>
        <v>1.1613568260882767</v>
      </c>
      <c r="M9" s="4">
        <f t="shared" ref="L9:Q9" si="3">AVERAGE(D2:D6,D9:D15)</f>
        <v>-1.2775644715512762E-3</v>
      </c>
      <c r="N9" s="4">
        <f t="shared" si="3"/>
        <v>2.6956486059088824</v>
      </c>
      <c r="O9" s="4">
        <f t="shared" si="3"/>
        <v>42.142865930580861</v>
      </c>
      <c r="P9" s="4">
        <f t="shared" si="3"/>
        <v>2.2873004957013996E-3</v>
      </c>
      <c r="Q9" s="4">
        <f t="shared" si="3"/>
        <v>3.9755831764345086E-2</v>
      </c>
    </row>
    <row r="10" spans="1:17" ht="42.75">
      <c r="A10" s="1" t="s">
        <v>16</v>
      </c>
      <c r="B10" s="1">
        <v>9.5977887849237504</v>
      </c>
      <c r="C10" s="1">
        <v>1.1606770778392601</v>
      </c>
      <c r="D10" s="1">
        <v>-2.0224711289164501E-3</v>
      </c>
      <c r="E10" s="1">
        <v>2.8621420786566998</v>
      </c>
      <c r="F10" s="1">
        <v>43.911338034350102</v>
      </c>
      <c r="G10" s="1">
        <v>2.2873004957014E-3</v>
      </c>
      <c r="H10" s="1">
        <v>4.0161020680797598E-2</v>
      </c>
      <c r="J10" s="4" t="s">
        <v>24</v>
      </c>
      <c r="K10" s="4">
        <f>_xlfn.STDEV.S(B2:B6,B9:B15)</f>
        <v>4.2874966127329557E-2</v>
      </c>
      <c r="L10" s="4">
        <f t="shared" ref="L10:Q10" si="4">_xlfn.STDEV.S(C2:C6,C9:C15)</f>
        <v>5.3568464265952532E-3</v>
      </c>
      <c r="M10" s="4">
        <f t="shared" si="4"/>
        <v>3.5927667312676337E-4</v>
      </c>
      <c r="N10" s="4">
        <f t="shared" si="4"/>
        <v>0.44389538733979811</v>
      </c>
      <c r="O10" s="4">
        <f t="shared" si="4"/>
        <v>0.91527419813041777</v>
      </c>
      <c r="P10" s="4">
        <f t="shared" si="4"/>
        <v>4.5296489464404432E-19</v>
      </c>
      <c r="Q10" s="4">
        <f t="shared" si="4"/>
        <v>8.0668246098657451E-4</v>
      </c>
    </row>
    <row r="11" spans="1:17" ht="42.75">
      <c r="A11" s="1" t="s">
        <v>17</v>
      </c>
      <c r="B11" s="1">
        <v>9.6309507973488007</v>
      </c>
      <c r="C11" s="1">
        <v>1.1599040984425</v>
      </c>
      <c r="D11" s="1">
        <v>-1.6396888009149999E-3</v>
      </c>
      <c r="E11" s="1">
        <v>2.86327561746144</v>
      </c>
      <c r="F11" s="1">
        <v>42.333341404611602</v>
      </c>
      <c r="G11" s="1">
        <v>2.2873004957014E-3</v>
      </c>
      <c r="H11" s="1">
        <v>4.01957931520791E-2</v>
      </c>
      <c r="J11" s="4" t="s">
        <v>25</v>
      </c>
      <c r="K11" s="4">
        <f>K10/K9*100</f>
        <v>0.4453802382548207</v>
      </c>
      <c r="L11" s="4">
        <f>L10/L9*100</f>
        <v>0.46125758304950709</v>
      </c>
      <c r="M11" s="4">
        <f>M10/M9*100</f>
        <v>-28.1219994080231</v>
      </c>
      <c r="N11" s="4">
        <f>N10/N9*100</f>
        <v>16.46710874580522</v>
      </c>
      <c r="O11" s="4">
        <f>O10/O9*100</f>
        <v>2.1718366274331888</v>
      </c>
      <c r="P11" s="4">
        <f>P10/P9*100</f>
        <v>1.9803471187774254E-14</v>
      </c>
      <c r="Q11" s="4">
        <f>Q10/Q9*100</f>
        <v>2.0290921487147595</v>
      </c>
    </row>
    <row r="12" spans="1:17" ht="42.75">
      <c r="A12" s="1" t="s">
        <v>18</v>
      </c>
      <c r="B12" s="1">
        <v>9.6918732409243802</v>
      </c>
      <c r="C12" s="1">
        <v>1.1564926066172201</v>
      </c>
      <c r="D12" s="1">
        <v>-1.5183837562695E-3</v>
      </c>
      <c r="E12" s="1">
        <v>2.36242151745728</v>
      </c>
      <c r="F12" s="1">
        <v>40.908696174550201</v>
      </c>
      <c r="G12" s="1">
        <v>2.2873004957014E-3</v>
      </c>
      <c r="H12" s="1">
        <v>4.0627807408899798E-2</v>
      </c>
    </row>
    <row r="13" spans="1:17" ht="42.75">
      <c r="A13" s="1" t="s">
        <v>19</v>
      </c>
      <c r="B13" s="1">
        <v>9.6305150634299395</v>
      </c>
      <c r="C13" s="1">
        <v>1.1559434188359501</v>
      </c>
      <c r="D13" s="1">
        <v>-1.18803906382221E-3</v>
      </c>
      <c r="E13" s="1">
        <v>2.8622900948066801</v>
      </c>
      <c r="F13" s="1">
        <v>42.7656032667837</v>
      </c>
      <c r="G13" s="1">
        <v>2.2873004957014E-3</v>
      </c>
      <c r="H13" s="1">
        <v>3.9807036376995002E-2</v>
      </c>
    </row>
    <row r="14" spans="1:17" ht="42.75">
      <c r="A14" s="1" t="s">
        <v>20</v>
      </c>
      <c r="B14" s="1">
        <v>9.6063579809933497</v>
      </c>
      <c r="C14" s="1">
        <v>1.15583150254565</v>
      </c>
      <c r="D14" s="1">
        <v>-1.3733091894724001E-3</v>
      </c>
      <c r="E14" s="1">
        <v>2.8625253050484298</v>
      </c>
      <c r="F14" s="1">
        <v>42.581017658883198</v>
      </c>
      <c r="G14" s="1">
        <v>2.2873004957014E-3</v>
      </c>
      <c r="H14" s="1">
        <v>3.9800928551067302E-2</v>
      </c>
    </row>
    <row r="15" spans="1:17" ht="42.75">
      <c r="A15" s="1" t="s">
        <v>21</v>
      </c>
      <c r="B15" s="1">
        <v>9.6719050694518494</v>
      </c>
      <c r="C15" s="1">
        <v>1.1518102939811901</v>
      </c>
      <c r="D15" s="1">
        <v>-7.4099941619947202E-4</v>
      </c>
      <c r="E15" s="1">
        <v>1.36201185162267</v>
      </c>
      <c r="F15" s="1">
        <v>41.993917673394897</v>
      </c>
      <c r="G15" s="1">
        <v>2.2873004957014E-3</v>
      </c>
      <c r="H15" s="1">
        <v>4.0279009963469802E-2</v>
      </c>
    </row>
    <row r="16" spans="1:17" ht="42.75">
      <c r="A16" s="2" t="s">
        <v>26</v>
      </c>
      <c r="B16" s="2">
        <v>9.41492632073642</v>
      </c>
      <c r="C16" s="2">
        <v>1.16954603684624</v>
      </c>
      <c r="D16" s="2">
        <v>-3.3047730585067001E-4</v>
      </c>
      <c r="E16" s="2">
        <v>2.8617459026149699</v>
      </c>
      <c r="F16" s="2">
        <v>43.027302593518698</v>
      </c>
      <c r="G16" s="2">
        <v>2.2873004957014E-3</v>
      </c>
      <c r="H16" s="2">
        <v>3.6656178039595803E-2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456</vt:lpstr>
      <vt:lpstr>894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2026-04-07T05:14:01Z</dcterms:created>
  <dcterms:modified xsi:type="dcterms:W3CDTF">2026-04-21T16:13:54Z</dcterms:modified>
</cp:coreProperties>
</file>