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06,2026\"/>
    </mc:Choice>
  </mc:AlternateContent>
  <xr:revisionPtr revIDLastSave="0" documentId="13_ncr:1_{17DBC7E5-8290-403C-B018-08233A5CE94B}" xr6:coauthVersionLast="47" xr6:coauthVersionMax="47" xr10:uidLastSave="{00000000-0000-0000-0000-000000000000}"/>
  <bookViews>
    <workbookView xWindow="-120" yWindow="-120" windowWidth="29040" windowHeight="15720" xr2:uid="{DE27D4D9-8A5E-4A81-9645-FB782B2C9508}"/>
  </bookViews>
  <sheets>
    <sheet name="456" sheetId="1" r:id="rId1"/>
    <sheet name="89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2" l="1"/>
  <c r="I11" i="2"/>
  <c r="M9" i="1"/>
  <c r="I3" i="1"/>
  <c r="I4" i="1"/>
  <c r="I6" i="1"/>
  <c r="I7" i="1"/>
  <c r="I9" i="1"/>
  <c r="I10" i="1"/>
  <c r="I12" i="1"/>
  <c r="I14" i="1"/>
  <c r="I15" i="1"/>
  <c r="I16" i="1"/>
  <c r="I17" i="1"/>
  <c r="I18" i="1"/>
  <c r="I19" i="1"/>
  <c r="P7" i="1"/>
  <c r="K7" i="1"/>
  <c r="K4" i="1"/>
  <c r="K6" i="1" s="1"/>
  <c r="M6" i="2"/>
  <c r="L4" i="2"/>
  <c r="L6" i="2" s="1"/>
  <c r="Q3" i="2"/>
  <c r="Q4" i="2"/>
  <c r="Q6" i="2" s="1"/>
  <c r="L3" i="2"/>
  <c r="M3" i="2"/>
  <c r="N3" i="2"/>
  <c r="O3" i="2"/>
  <c r="P3" i="2"/>
  <c r="M4" i="2"/>
  <c r="N4" i="2"/>
  <c r="N6" i="2" s="1"/>
  <c r="O4" i="2"/>
  <c r="O6" i="2" s="1"/>
  <c r="P4" i="2"/>
  <c r="P6" i="2" s="1"/>
  <c r="P3" i="1"/>
  <c r="M3" i="1"/>
  <c r="N3" i="1"/>
  <c r="L6" i="1"/>
  <c r="M6" i="1"/>
  <c r="N6" i="1"/>
  <c r="O6" i="1"/>
  <c r="P6" i="1"/>
  <c r="Q6" i="1"/>
  <c r="O3" i="1"/>
  <c r="L3" i="1"/>
  <c r="L4" i="1"/>
  <c r="M4" i="1"/>
  <c r="N4" i="1"/>
  <c r="O4" i="1"/>
  <c r="P4" i="1"/>
  <c r="Q4" i="1"/>
  <c r="Q3" i="1"/>
  <c r="K4" i="2"/>
  <c r="K3" i="2"/>
  <c r="K3" i="1"/>
  <c r="K6" i="2" l="1"/>
  <c r="K7" i="2" s="1"/>
</calcChain>
</file>

<file path=xl/sharedStrings.xml><?xml version="1.0" encoding="utf-8"?>
<sst xmlns="http://schemas.openxmlformats.org/spreadsheetml/2006/main" count="68" uniqueCount="29">
  <si>
    <t>Date</t>
  </si>
  <si>
    <t>Alpha</t>
  </si>
  <si>
    <t>P0</t>
  </si>
  <si>
    <t>h1</t>
  </si>
  <si>
    <t>mv</t>
  </si>
  <si>
    <t>T</t>
  </si>
  <si>
    <t>gamma</t>
  </si>
  <si>
    <t>offset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</si>
  <si>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</si>
  <si>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</si>
  <si>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</si>
  <si>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</si>
  <si>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</si>
  <si>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</si>
  <si>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</si>
  <si>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</si>
  <si>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Apr06,2026+4-12-05PM</t>
  </si>
  <si>
    <t>Apr06,2026+4-24-01PM</t>
  </si>
  <si>
    <t>Apr06,2026+4-48-08PM</t>
  </si>
  <si>
    <t>Apr06,2026+4-55-13PM</t>
  </si>
  <si>
    <t>Apr06,2026+5-03-59PM</t>
  </si>
  <si>
    <t>Apr06,2026+5-12-46PM</t>
  </si>
  <si>
    <t>Apr06,2026+5-20-20PM</t>
  </si>
  <si>
    <t>Apr06,2026+5-27-52PM</t>
  </si>
  <si>
    <t>Apr06,2026+5-35-52PM</t>
  </si>
  <si>
    <t>Apr06,2026+6-03-01PM</t>
  </si>
  <si>
    <t>mean</t>
  </si>
  <si>
    <t>std</t>
  </si>
  <si>
    <t>%std/mean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</si>
</sst>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'456'!$B$2:$B$19</c:f>
              <c:numCache>
                <c:formatCode>General</c:formatCode>
                <c:ptCount val="18"/>
                <c:pt idx="0">
                  <c:v>0.20775618606449101</c:v>
                </c:pt>
                <c:pt idx="1">
                  <c:v>0.20198517345032099</c:v>
                </c:pt>
                <c:pt idx="2">
                  <c:v>0.202637114346882</c:v>
                </c:pt>
                <c:pt idx="3">
                  <c:v>0.20568540487076101</c:v>
                </c:pt>
                <c:pt idx="4">
                  <c:v>0.19829657274469301</c:v>
                </c:pt>
                <c:pt idx="5">
                  <c:v>0.202158427690247</c:v>
                </c:pt>
                <c:pt idx="6">
                  <c:v>0.20543046922108199</c:v>
                </c:pt>
                <c:pt idx="7">
                  <c:v>0.20259026936214999</c:v>
                </c:pt>
                <c:pt idx="8">
                  <c:v>0.20122262390902501</c:v>
                </c:pt>
                <c:pt idx="9">
                  <c:v>0.203820819225811</c:v>
                </c:pt>
                <c:pt idx="10">
                  <c:v>0.204311778578317</c:v>
                </c:pt>
                <c:pt idx="11">
                  <c:v>0.20733872232617501</c:v>
                </c:pt>
                <c:pt idx="12">
                  <c:v>0.20096242472601</c:v>
                </c:pt>
                <c:pt idx="13">
                  <c:v>0.20388176741509301</c:v>
                </c:pt>
                <c:pt idx="14">
                  <c:v>0.206878495270888</c:v>
                </c:pt>
                <c:pt idx="15">
                  <c:v>0.201823754671344</c:v>
                </c:pt>
                <c:pt idx="16">
                  <c:v>0.20360685548590399</c:v>
                </c:pt>
                <c:pt idx="17">
                  <c:v>0.19966875721728899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0-4D4C-BEE4-38197C02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80239"/>
        <c:axId val="1047191776"/>
      </c:scatterChart>
      <c:valAx>
        <c:axId val="3835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91776"/>
        <c:crosses val="autoZero"/>
        <c:crossBetween val="midCat"/>
      </c:valAx>
      <c:valAx>
        <c:axId val="10471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'456'!$I$1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'456'!$I$2:$I$19</c:f>
              <c:numCache>
                <c:formatCode>General</c:formatCode>
                <c:ptCount val="18"/>
                <c:pt idx="1">
                  <c:v>1.0239171341559901</c:v>
                </c:pt>
                <c:pt idx="2">
                  <c:v>1.1894033322372239</c:v>
                </c:pt>
                <c:pt idx="4">
                  <c:v>1.5649156792688994</c:v>
                </c:pt>
                <c:pt idx="5">
                  <c:v>1.5831399339819459</c:v>
                </c:pt>
                <c:pt idx="7">
                  <c:v>1.3624150409644595</c:v>
                </c:pt>
                <c:pt idx="8">
                  <c:v>1.2642645622799633</c:v>
                </c:pt>
                <c:pt idx="10">
                  <c:v>1.0027252673704417</c:v>
                </c:pt>
                <c:pt idx="12">
                  <c:v>1.2004393355802754</c:v>
                </c:pt>
                <c:pt idx="13">
                  <c:v>1.1293578515144338</c:v>
                </c:pt>
                <c:pt idx="14">
                  <c:v>1.2004350253272649</c:v>
                </c:pt>
                <c:pt idx="15">
                  <c:v>1.4590292319728295</c:v>
                </c:pt>
                <c:pt idx="16">
                  <c:v>1.3431363218040231</c:v>
                </c:pt>
                <c:pt idx="17">
                  <c:v>1.3445826164293073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3-4CA2-B280-9194DC0E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643088"/>
        <c:axId val="1784170112"/>
      </c:scatterChart>
      <c:valAx>
        <c:axId val="128364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70112"/>
        <c:crosses val="autoZero"/>
        <c:crossBetween val="midCat"/>
      </c:valAx>
      <c:valAx>
        <c:axId val="17841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4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'894'!$B$2:$B$15</c:f>
              <c:numCache>
                <c:formatCode>General</c:formatCode>
                <c:ptCount val="14"/>
                <c:pt idx="0">
                  <c:v>9.5881767499996808</c:v>
                </c:pt>
                <c:pt idx="1">
                  <c:v>9.5479054047023197</c:v>
                </c:pt>
                <c:pt idx="2">
                  <c:v>9.5973616715021208</c:v>
                </c:pt>
                <c:pt idx="3">
                  <c:v>9.6529979043228593</c:v>
                </c:pt>
                <c:pt idx="4">
                  <c:v>9.6820191278319694</c:v>
                </c:pt>
                <c:pt idx="5">
                  <c:v>9.5136086938641604</c:v>
                </c:pt>
                <c:pt idx="6">
                  <c:v>9.4032933577094795</c:v>
                </c:pt>
                <c:pt idx="7">
                  <c:v>9.6379596342741998</c:v>
                </c:pt>
                <c:pt idx="8">
                  <c:v>9.6610968436326203</c:v>
                </c:pt>
                <c:pt idx="9">
                  <c:v>9.6309313633213893</c:v>
                </c:pt>
                <c:pt idx="10">
                  <c:v>9.6910440303007999</c:v>
                </c:pt>
                <c:pt idx="11">
                  <c:v>9.6362676936265892</c:v>
                </c:pt>
                <c:pt idx="12">
                  <c:v>9.60932391902959</c:v>
                </c:pt>
                <c:pt idx="13">
                  <c:v>9.6716833225900594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E-45BD-A267-24CD3A5B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98240"/>
        <c:axId val="1229398720"/>
      </c:scatterChart>
      <c:valAx>
        <c:axId val="122939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720"/>
        <c:crosses val="autoZero"/>
        <c:crossBetween val="midCat"/>
      </c:valAx>
      <c:valAx>
        <c:axId val="12293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'894'!$G$2:$G$15</c:f>
              <c:numCache>
                <c:formatCode>General</c:formatCode>
                <c:ptCount val="14"/>
                <c:pt idx="0">
                  <c:v>2.2879410133180402E-3</c:v>
                </c:pt>
                <c:pt idx="1">
                  <c:v>2.28730050670105E-3</c:v>
                </c:pt>
                <c:pt idx="2">
                  <c:v>2.2873108999556099E-3</c:v>
                </c:pt>
                <c:pt idx="3">
                  <c:v>2.2873005339427402E-3</c:v>
                </c:pt>
                <c:pt idx="4">
                  <c:v>2.28730058254996E-3</c:v>
                </c:pt>
                <c:pt idx="5">
                  <c:v>2.2873006352020098E-3</c:v>
                </c:pt>
                <c:pt idx="6">
                  <c:v>2.28730055965832E-3</c:v>
                </c:pt>
                <c:pt idx="7">
                  <c:v>2.2873004961350102E-3</c:v>
                </c:pt>
                <c:pt idx="8">
                  <c:v>2.2932699625688299E-3</c:v>
                </c:pt>
                <c:pt idx="9">
                  <c:v>2.2873004957041998E-3</c:v>
                </c:pt>
                <c:pt idx="10">
                  <c:v>2.3639636188227601E-3</c:v>
                </c:pt>
                <c:pt idx="11">
                  <c:v>2.31428716300758E-3</c:v>
                </c:pt>
                <c:pt idx="12">
                  <c:v>2.3080324228591299E-3</c:v>
                </c:pt>
                <c:pt idx="13">
                  <c:v>2.28730050639451E-3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B-43F6-BB1D-7AAB69CC0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05360"/>
        <c:axId val="1297046432"/>
      </c:scatterChart>
      <c:valAx>
        <c:axId val="208310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6432"/>
        <c:crosses val="autoZero"/>
        <c:crossBetween val="midCat"/>
      </c:valAx>
      <c:valAx>
        <c:axId val="12970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0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118710</xdr:colOff>
      <xdr:row>7</xdr:row>
      <xdr:rowOff>331069</xdr:rowOff>
    </xdr:from>
    <xdr:to>
      <xdr:col>23</xdr:col>
      <xdr:colOff>56028</xdr:colOff>
      <xdr:row>17</xdr:row>
      <xdr:rowOff>403412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A5F1-EBFD-CB93-E7DB-E2052BD72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174788</xdr:colOff>
      <xdr:row>4</xdr:row>
      <xdr:rowOff>348695</xdr:rowOff>
    </xdr:from>
    <xdr:to>
      <xdr:col>33</xdr:col>
      <xdr:colOff>486104</xdr:colOff>
      <xdr:row>9</xdr:row>
      <xdr:rowOff>332929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28140-0C78-B87E-E9E0-818E32FEB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485775</xdr:colOff>
      <xdr:row>6</xdr:row>
      <xdr:rowOff>244475</xdr:rowOff>
    </xdr:from>
    <xdr:to>
      <xdr:col>23</xdr:col>
      <xdr:colOff>180975</xdr:colOff>
      <xdr:row>11</xdr:row>
      <xdr:rowOff>225425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D740C-098D-1796-94EB-4DAA9433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41275</xdr:colOff>
      <xdr:row>11</xdr:row>
      <xdr:rowOff>549275</xdr:rowOff>
    </xdr:from>
    <xdr:to>
      <xdr:col>18</xdr:col>
      <xdr:colOff>346075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E2A2F-BB20-7B51-0145-BA2BBE7E8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7E67-BE51-40B6-BF6A-AB076C1A076C}">
  <dimension ref="A1:Q19"/>
  <sheetViews>
    <sheetView tabSelected="1" topLeftCell="A4" zoomScale="85" zoomScaleNormal="85" workbookViewId="0">
      <selection activeCell="AC4" sqref="AC4"/>
    </sheetView>
  </sheetViews>
  <sheetFormatPr defaultRowHeight="14.25"/>
  <cols>
    <col min="10" max="10" width="10.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2.75">
      <c r="A2" s="1" t="s">
        <v>8</v>
      </c>
      <c r="B2" s="1">
        <v>0.20775618606449101</v>
      </c>
      <c r="C2" s="1">
        <v>1.33310500581003</v>
      </c>
      <c r="D2" s="1">
        <v>-1.4937317203407899E-3</v>
      </c>
      <c r="E2" s="1">
        <v>3.3657523834150598</v>
      </c>
      <c r="F2" s="1">
        <v>44.300119842914398</v>
      </c>
      <c r="G2" s="1">
        <v>8.62674569014076E-4</v>
      </c>
      <c r="H2" s="1">
        <v>6.7331913797042502E-3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2.75">
      <c r="A3" s="1" t="s">
        <v>9</v>
      </c>
      <c r="B3" s="1">
        <v>0.20198517345032099</v>
      </c>
      <c r="C3" s="1">
        <v>1.3314724726348599</v>
      </c>
      <c r="D3" s="1">
        <v>-1.39002805784826E-3</v>
      </c>
      <c r="E3" s="1">
        <v>3.1039822205267198</v>
      </c>
      <c r="F3" s="1">
        <v>40.346528584824497</v>
      </c>
      <c r="G3" s="1">
        <v>5.9241483647452797E-4</v>
      </c>
      <c r="H3" s="1">
        <v>7.4830854729079901E-3</v>
      </c>
      <c r="I3">
        <f t="shared" ref="I3:I19" si="0">G3/$P$7</f>
        <v>1.0239171341559901</v>
      </c>
      <c r="J3" t="s">
        <v>26</v>
      </c>
      <c r="K3">
        <f t="shared" ref="K3:Q3" si="1">AVERAGE(B2:B19)</f>
        <v>0.20333642314313793</v>
      </c>
      <c r="L3">
        <f t="shared" si="1"/>
        <v>1.331004147377965</v>
      </c>
      <c r="M3">
        <f t="shared" si="1"/>
        <v>-1.343352237272212E-3</v>
      </c>
      <c r="N3">
        <f t="shared" si="1"/>
        <v>2.3941378865325134</v>
      </c>
      <c r="O3">
        <f t="shared" si="1"/>
        <v>41.727967895474265</v>
      </c>
      <c r="P3">
        <f t="shared" si="1"/>
        <v>8.9884161107294783E-4</v>
      </c>
      <c r="Q3">
        <f t="shared" si="1"/>
        <v>6.7196783564735787E-3</v>
      </c>
    </row>
    <row r="4" spans="1:17" ht="42.75">
      <c r="A4" s="1" t="s">
        <v>10</v>
      </c>
      <c r="B4" s="1">
        <v>0.202637114346882</v>
      </c>
      <c r="C4" s="1">
        <v>1.3315004489725799</v>
      </c>
      <c r="D4" s="1">
        <v>-1.4644621604041599E-3</v>
      </c>
      <c r="E4" s="1">
        <v>3.3696753356403999</v>
      </c>
      <c r="F4" s="1">
        <v>40.326641536826202</v>
      </c>
      <c r="G4" s="1">
        <v>6.8816133363212904E-4</v>
      </c>
      <c r="H4" s="1">
        <v>6.8554338102289102E-3</v>
      </c>
      <c r="I4">
        <f t="shared" si="0"/>
        <v>1.1894033322372239</v>
      </c>
      <c r="J4" t="s">
        <v>27</v>
      </c>
      <c r="K4">
        <f t="shared" ref="K4:Q4" si="2">_xlfn.STDEV.S(B2:B19)</f>
        <v>2.6016011833336827E-3</v>
      </c>
      <c r="L4">
        <f t="shared" si="2"/>
        <v>1.3813454075544782E-3</v>
      </c>
      <c r="M4">
        <f t="shared" si="2"/>
        <v>2.5170715272718175E-4</v>
      </c>
      <c r="N4">
        <f t="shared" si="2"/>
        <v>0.67013895879129959</v>
      </c>
      <c r="O4">
        <f t="shared" si="2"/>
        <v>1.6798617742726416</v>
      </c>
      <c r="P4">
        <f t="shared" si="2"/>
        <v>3.2202999446943339E-4</v>
      </c>
      <c r="Q4">
        <f t="shared" si="2"/>
        <v>8.7450229714018397E-4</v>
      </c>
    </row>
    <row r="5" spans="1:17" ht="42.75">
      <c r="A5" s="1" t="s">
        <v>11</v>
      </c>
      <c r="B5" s="1">
        <v>0.20568540487076101</v>
      </c>
      <c r="C5" s="1">
        <v>1.3313094829785901</v>
      </c>
      <c r="D5" s="1">
        <v>-1.2925640647463499E-3</v>
      </c>
      <c r="E5" s="1">
        <v>3.1111089557738301</v>
      </c>
      <c r="F5" s="1">
        <v>44.277973307306802</v>
      </c>
      <c r="G5" s="1">
        <v>1.0821451966316899E-3</v>
      </c>
      <c r="H5" s="1">
        <v>6.0223458005847002E-3</v>
      </c>
    </row>
    <row r="6" spans="1:17" ht="42.75">
      <c r="A6" s="1" t="s">
        <v>12</v>
      </c>
      <c r="B6" s="1">
        <v>0.19829657274469301</v>
      </c>
      <c r="C6" s="1">
        <v>1.33094112717256</v>
      </c>
      <c r="D6" s="1">
        <v>-1.64705956528337E-3</v>
      </c>
      <c r="E6" s="1">
        <v>1.8642922646944999</v>
      </c>
      <c r="F6" s="1">
        <v>40.578831459398799</v>
      </c>
      <c r="G6" s="1">
        <v>9.0542411617586303E-4</v>
      </c>
      <c r="H6" s="1">
        <v>7.5022586093307997E-3</v>
      </c>
      <c r="I6">
        <f t="shared" si="0"/>
        <v>1.5649156792688994</v>
      </c>
      <c r="J6" t="s">
        <v>28</v>
      </c>
      <c r="K6">
        <f>K4/K3*100</f>
        <v>1.2794565494556256</v>
      </c>
      <c r="L6">
        <f t="shared" ref="L6:Q6" si="3">L4/L3*100</f>
        <v>0.1037822016013762</v>
      </c>
      <c r="M6">
        <f t="shared" si="3"/>
        <v>-18.737241487630524</v>
      </c>
      <c r="N6">
        <f t="shared" si="3"/>
        <v>27.990825531017251</v>
      </c>
      <c r="O6">
        <f t="shared" si="3"/>
        <v>4.0257454628046627</v>
      </c>
      <c r="P6">
        <f t="shared" si="3"/>
        <v>35.82722367348191</v>
      </c>
      <c r="Q6">
        <f t="shared" si="3"/>
        <v>13.014049940317593</v>
      </c>
    </row>
    <row r="7" spans="1:17" ht="42.75">
      <c r="A7" s="1" t="s">
        <v>13</v>
      </c>
      <c r="B7" s="1">
        <v>0.202158427690247</v>
      </c>
      <c r="C7" s="1">
        <v>1.33180281666499</v>
      </c>
      <c r="D7" s="1">
        <v>-7.1602376355106904E-4</v>
      </c>
      <c r="E7" s="1">
        <v>3.3175480181797199</v>
      </c>
      <c r="F7" s="1">
        <v>40.386473578226997</v>
      </c>
      <c r="G7" s="1">
        <v>9.1596824959794796E-4</v>
      </c>
      <c r="H7" s="1">
        <v>5.4512116460360199E-3</v>
      </c>
      <c r="I7">
        <f t="shared" si="0"/>
        <v>1.5831399339819459</v>
      </c>
      <c r="K7">
        <f>K6/SQRT(18*8)</f>
        <v>0.10662137912130214</v>
      </c>
      <c r="P7">
        <f>1/137.54/2/(2*PI())</f>
        <v>5.7857693431690902E-4</v>
      </c>
    </row>
    <row r="8" spans="1:17" ht="42.75">
      <c r="A8" s="1" t="s">
        <v>14</v>
      </c>
      <c r="B8" s="1">
        <v>0.20543046922108199</v>
      </c>
      <c r="C8" s="1">
        <v>1.32997862506486</v>
      </c>
      <c r="D8" s="1">
        <v>-1.37990713885699E-3</v>
      </c>
      <c r="E8" s="1">
        <v>2.3656759853148999</v>
      </c>
      <c r="F8" s="1">
        <v>40.3797792596676</v>
      </c>
      <c r="G8" s="1">
        <v>1.6954728693614101E-3</v>
      </c>
      <c r="H8" s="1">
        <v>7.7968480004249902E-3</v>
      </c>
    </row>
    <row r="9" spans="1:17" ht="42.75">
      <c r="A9" s="1" t="s">
        <v>15</v>
      </c>
      <c r="B9" s="1">
        <v>0.20259026936214999</v>
      </c>
      <c r="C9" s="1">
        <v>1.32961440357434</v>
      </c>
      <c r="D9" s="1">
        <v>-1.0364641726458E-3</v>
      </c>
      <c r="E9" s="1">
        <v>2.3627789068011902</v>
      </c>
      <c r="F9" s="1">
        <v>40.388323808147803</v>
      </c>
      <c r="G9" s="1">
        <v>7.8826191766846298E-4</v>
      </c>
      <c r="H9" s="1">
        <v>7.8251933969995194E-3</v>
      </c>
      <c r="I9">
        <f t="shared" si="0"/>
        <v>1.3624150409644595</v>
      </c>
      <c r="M9">
        <f>AVERAGE(I2:I19)</f>
        <v>1.2821354871451585</v>
      </c>
    </row>
    <row r="10" spans="1:17" ht="42.75">
      <c r="A10" s="1" t="s">
        <v>16</v>
      </c>
      <c r="B10" s="1">
        <v>0.20122262390902501</v>
      </c>
      <c r="C10" s="1">
        <v>1.33260512705676</v>
      </c>
      <c r="D10" s="1">
        <v>-1.2808080358929701E-3</v>
      </c>
      <c r="E10" s="1">
        <v>3.30142718671663</v>
      </c>
      <c r="F10" s="1">
        <v>40.391911784671898</v>
      </c>
      <c r="G10" s="1">
        <v>7.3147431460945001E-4</v>
      </c>
      <c r="H10" s="1">
        <v>5.6124292572678298E-3</v>
      </c>
      <c r="I10">
        <f t="shared" si="0"/>
        <v>1.2642645622799633</v>
      </c>
    </row>
    <row r="11" spans="1:17" ht="42.75">
      <c r="A11" s="1" t="s">
        <v>17</v>
      </c>
      <c r="B11" s="1">
        <v>0.203820819225811</v>
      </c>
      <c r="C11" s="1">
        <v>1.3299970287485501</v>
      </c>
      <c r="D11" s="1">
        <v>-1.5116565458717999E-3</v>
      </c>
      <c r="E11" s="1">
        <v>1.6166792845152</v>
      </c>
      <c r="F11" s="1">
        <v>43.336347707355998</v>
      </c>
      <c r="G11" s="1">
        <v>1.57901667081844E-3</v>
      </c>
      <c r="H11" s="1">
        <v>7.8000210714507601E-3</v>
      </c>
    </row>
    <row r="12" spans="1:17" ht="42.75">
      <c r="A12" s="1" t="s">
        <v>18</v>
      </c>
      <c r="B12" s="1">
        <v>0.204311778578317</v>
      </c>
      <c r="C12" s="1">
        <v>1.3323090023467199</v>
      </c>
      <c r="D12" s="1">
        <v>-1.7514330240149701E-3</v>
      </c>
      <c r="E12" s="1">
        <v>1.8586297203162001</v>
      </c>
      <c r="F12" s="1">
        <v>44.418077813597698</v>
      </c>
      <c r="G12" s="1">
        <v>5.8015371115729302E-4</v>
      </c>
      <c r="H12" s="1">
        <v>6.9099970499809198E-3</v>
      </c>
      <c r="I12">
        <f t="shared" si="0"/>
        <v>1.0027252673704417</v>
      </c>
    </row>
    <row r="13" spans="1:17" ht="42.75">
      <c r="A13" s="1" t="s">
        <v>19</v>
      </c>
      <c r="B13" s="1">
        <v>0.20733872232617501</v>
      </c>
      <c r="C13" s="1">
        <v>1.3324471181838999</v>
      </c>
      <c r="D13" s="1">
        <v>-1.5016201343008399E-3</v>
      </c>
      <c r="E13" s="1">
        <v>2.06622354984817</v>
      </c>
      <c r="F13" s="1">
        <v>44.411016231169199</v>
      </c>
      <c r="G13" s="1">
        <v>1.31625743957973E-3</v>
      </c>
      <c r="H13" s="1">
        <v>6.3546524311469798E-3</v>
      </c>
    </row>
    <row r="14" spans="1:17" ht="42.75">
      <c r="A14" s="1" t="s">
        <v>20</v>
      </c>
      <c r="B14" s="1">
        <v>0.20096242472601</v>
      </c>
      <c r="C14" s="1">
        <v>1.3308972859866499</v>
      </c>
      <c r="D14" s="1">
        <v>-1.47104868487097E-3</v>
      </c>
      <c r="E14" s="1">
        <v>1.6169660214841499</v>
      </c>
      <c r="F14" s="1">
        <v>42.388527500915899</v>
      </c>
      <c r="G14" s="1">
        <v>6.9454651061346296E-4</v>
      </c>
      <c r="H14" s="1">
        <v>6.5441406276150402E-3</v>
      </c>
      <c r="I14">
        <f t="shared" si="0"/>
        <v>1.2004393355802754</v>
      </c>
    </row>
    <row r="15" spans="1:17" ht="42.75">
      <c r="A15" s="1" t="s">
        <v>21</v>
      </c>
      <c r="B15" s="1">
        <v>0.20388176741509301</v>
      </c>
      <c r="C15" s="1">
        <v>1.3291439142127499</v>
      </c>
      <c r="D15" s="1">
        <v>-1.20286223178069E-3</v>
      </c>
      <c r="E15" s="1">
        <v>1.8666644739098299</v>
      </c>
      <c r="F15" s="1">
        <v>40.536926741128802</v>
      </c>
      <c r="G15" s="1">
        <v>6.5342040347595202E-4</v>
      </c>
      <c r="H15" s="1">
        <v>7.1700855339725299E-3</v>
      </c>
      <c r="I15">
        <f t="shared" si="0"/>
        <v>1.1293578515144338</v>
      </c>
    </row>
    <row r="16" spans="1:17" ht="42.75">
      <c r="A16" s="1" t="s">
        <v>22</v>
      </c>
      <c r="B16" s="1">
        <v>0.206878495270888</v>
      </c>
      <c r="C16" s="1">
        <v>1.33060959852047</v>
      </c>
      <c r="D16" s="1">
        <v>-9.8540538746627908E-4</v>
      </c>
      <c r="E16" s="1">
        <v>2.1122118166643302</v>
      </c>
      <c r="F16" s="1">
        <v>42.453013490162597</v>
      </c>
      <c r="G16" s="1">
        <v>6.9454401680048999E-4</v>
      </c>
      <c r="H16" s="1">
        <v>6.5440924461874902E-3</v>
      </c>
      <c r="I16">
        <f t="shared" si="0"/>
        <v>1.2004350253272649</v>
      </c>
    </row>
    <row r="17" spans="1:9" ht="42.75">
      <c r="A17" s="1" t="s">
        <v>23</v>
      </c>
      <c r="B17" s="1">
        <v>0.201823754671344</v>
      </c>
      <c r="C17" s="1">
        <v>1.33222751873149</v>
      </c>
      <c r="D17" s="1">
        <v>-1.5568760045497399E-3</v>
      </c>
      <c r="E17" s="1">
        <v>2.1170439404789598</v>
      </c>
      <c r="F17" s="1">
        <v>40.5314501894199</v>
      </c>
      <c r="G17" s="1">
        <v>8.4416066011359404E-4</v>
      </c>
      <c r="H17" s="1">
        <v>5.3561065570487502E-3</v>
      </c>
      <c r="I17">
        <f t="shared" si="0"/>
        <v>1.4590292319728295</v>
      </c>
    </row>
    <row r="18" spans="1:9" ht="42.75">
      <c r="A18" s="1" t="s">
        <v>24</v>
      </c>
      <c r="B18" s="1">
        <v>0.20360685548590399</v>
      </c>
      <c r="C18" s="1">
        <v>1.32768386789029</v>
      </c>
      <c r="D18" s="1">
        <v>-1.21444730547189E-3</v>
      </c>
      <c r="E18" s="1">
        <v>1.60582189765002</v>
      </c>
      <c r="F18" s="1">
        <v>40.792017469450002</v>
      </c>
      <c r="G18" s="1">
        <v>7.7710769543906102E-4</v>
      </c>
      <c r="H18" s="1">
        <v>7.6197773041926601E-3</v>
      </c>
      <c r="I18">
        <f t="shared" si="0"/>
        <v>1.3431363218040231</v>
      </c>
    </row>
    <row r="19" spans="1:9" ht="42.75">
      <c r="A19" s="1" t="s">
        <v>25</v>
      </c>
      <c r="B19" s="1">
        <v>0.19966875721728899</v>
      </c>
      <c r="C19" s="1">
        <v>1.33042980825298</v>
      </c>
      <c r="D19" s="1">
        <v>-1.28394227300287E-3</v>
      </c>
      <c r="E19" s="1">
        <v>2.0719999956554398</v>
      </c>
      <c r="F19" s="1">
        <v>40.8594618133517</v>
      </c>
      <c r="G19" s="1">
        <v>7.7794448814947703E-4</v>
      </c>
      <c r="H19" s="1">
        <v>5.3733400214442803E-3</v>
      </c>
      <c r="I19">
        <f t="shared" si="0"/>
        <v>1.3445826164293073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FFC7-3DA5-4057-863B-C101A2BD7DDC}">
  <dimension ref="A1:Q15"/>
  <sheetViews>
    <sheetView workbookViewId="0">
      <selection activeCell="K6" sqref="K6"/>
    </sheetView>
  </sheetViews>
  <sheetFormatPr defaultRowHeight="14.25"/>
  <cols>
    <col min="10" max="10" width="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2.75">
      <c r="A2" s="1" t="s">
        <v>8</v>
      </c>
      <c r="B2" s="1">
        <v>9.5881767499996808</v>
      </c>
      <c r="C2" s="1">
        <v>1.16779295403984</v>
      </c>
      <c r="D2" s="1">
        <v>-1.14062824653226E-3</v>
      </c>
      <c r="E2" s="1">
        <v>2.8625495417061</v>
      </c>
      <c r="F2" s="1">
        <v>42.294833599913801</v>
      </c>
      <c r="G2" s="1">
        <v>2.2879410133180402E-3</v>
      </c>
      <c r="H2" s="1">
        <v>3.9208188938186297E-2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2.75">
      <c r="A3" s="1" t="s">
        <v>9</v>
      </c>
      <c r="B3" s="1">
        <v>9.5479054047023197</v>
      </c>
      <c r="C3" s="1">
        <v>1.1666631331667401</v>
      </c>
      <c r="D3" s="1">
        <v>-9.7420467527509203E-4</v>
      </c>
      <c r="E3" s="1">
        <v>2.86218929275095</v>
      </c>
      <c r="F3" s="1">
        <v>41.845446233253</v>
      </c>
      <c r="G3" s="1">
        <v>2.28730050670105E-3</v>
      </c>
      <c r="H3" s="1">
        <v>3.8679664000731799E-2</v>
      </c>
      <c r="J3" t="s">
        <v>26</v>
      </c>
      <c r="K3">
        <f t="shared" ref="K3:Q3" si="0">AVERAGE(B2:B8,B9:B15)</f>
        <v>9.6088335511934186</v>
      </c>
      <c r="L3">
        <f t="shared" si="0"/>
        <v>1.1621065158458728</v>
      </c>
      <c r="M3">
        <f t="shared" si="0"/>
        <v>-1.5775610011044422E-3</v>
      </c>
      <c r="N3">
        <f t="shared" si="0"/>
        <v>2.6608353107389324</v>
      </c>
      <c r="O3">
        <f t="shared" si="0"/>
        <v>41.906194637181123</v>
      </c>
      <c r="P3">
        <f t="shared" si="0"/>
        <v>2.2966578140585538E-3</v>
      </c>
      <c r="Q3">
        <f t="shared" si="0"/>
        <v>3.9720000673721056E-2</v>
      </c>
    </row>
    <row r="4" spans="1:17" ht="42.75">
      <c r="A4" s="1" t="s">
        <v>10</v>
      </c>
      <c r="B4" s="1">
        <v>9.5973616715021208</v>
      </c>
      <c r="C4" s="1">
        <v>1.1665450123043899</v>
      </c>
      <c r="D4" s="1">
        <v>-9.6777866324870702E-4</v>
      </c>
      <c r="E4" s="1">
        <v>2.86264619631757</v>
      </c>
      <c r="F4" s="1">
        <v>41.746896665937598</v>
      </c>
      <c r="G4" s="1">
        <v>2.2873108999556099E-3</v>
      </c>
      <c r="H4" s="1">
        <v>3.84398386419708E-2</v>
      </c>
      <c r="J4" t="s">
        <v>27</v>
      </c>
      <c r="K4">
        <f t="shared" ref="K4:Q4" si="1">_xlfn.STDEV.S(B2:B8,B9:B15)</f>
        <v>7.7668592218918517E-2</v>
      </c>
      <c r="L4">
        <f t="shared" si="1"/>
        <v>5.252449588536383E-3</v>
      </c>
      <c r="M4">
        <f t="shared" si="1"/>
        <v>9.143262698338931E-4</v>
      </c>
      <c r="N4">
        <f t="shared" si="1"/>
        <v>0.47761766086667917</v>
      </c>
      <c r="O4">
        <f t="shared" si="1"/>
        <v>1.0820372207622722</v>
      </c>
      <c r="P4">
        <f t="shared" si="1"/>
        <v>2.1205116713350879E-5</v>
      </c>
      <c r="Q4">
        <f t="shared" si="1"/>
        <v>8.6279095495304925E-4</v>
      </c>
    </row>
    <row r="5" spans="1:17" ht="42.75">
      <c r="A5" s="1" t="s">
        <v>11</v>
      </c>
      <c r="B5" s="1">
        <v>9.6529979043228593</v>
      </c>
      <c r="C5" s="1">
        <v>1.1657624067399901</v>
      </c>
      <c r="D5" s="1">
        <v>-9.3335255440172595E-4</v>
      </c>
      <c r="E5" s="1">
        <v>2.8626153437353601</v>
      </c>
      <c r="F5" s="1">
        <v>40.3278740424498</v>
      </c>
      <c r="G5" s="1">
        <v>2.2873005339427402E-3</v>
      </c>
      <c r="H5" s="1">
        <v>3.8826109217313297E-2</v>
      </c>
    </row>
    <row r="6" spans="1:17" ht="42.75">
      <c r="A6" s="1" t="s">
        <v>12</v>
      </c>
      <c r="B6" s="1">
        <v>9.6820191278319694</v>
      </c>
      <c r="C6" s="1">
        <v>1.1656609619890499</v>
      </c>
      <c r="D6" s="1">
        <v>-1.47615704078955E-3</v>
      </c>
      <c r="E6" s="1">
        <v>2.8608556040672402</v>
      </c>
      <c r="F6" s="1">
        <v>42.679386362359502</v>
      </c>
      <c r="G6" s="1">
        <v>2.28730058254996E-3</v>
      </c>
      <c r="H6" s="1">
        <v>4.0985235994735802E-2</v>
      </c>
      <c r="J6" t="s">
        <v>28</v>
      </c>
      <c r="K6">
        <f>K4/K3*100</f>
        <v>0.80830406526577903</v>
      </c>
      <c r="L6">
        <f>L4/L3*100</f>
        <v>0.45197660600958223</v>
      </c>
      <c r="M6">
        <f>M4/M3*100</f>
        <v>-57.958219631049325</v>
      </c>
      <c r="N6">
        <f t="shared" ref="N6:Q6" si="2">N4/N3*100</f>
        <v>17.949914409924205</v>
      </c>
      <c r="O6">
        <f t="shared" si="2"/>
        <v>2.582045996135947</v>
      </c>
      <c r="P6">
        <f t="shared" si="2"/>
        <v>0.92330327067218254</v>
      </c>
      <c r="Q6">
        <f t="shared" si="2"/>
        <v>2.1721826292009001</v>
      </c>
    </row>
    <row r="7" spans="1:17" ht="42.75">
      <c r="A7" s="1" t="s">
        <v>13</v>
      </c>
      <c r="B7" s="1">
        <v>9.5136086938641604</v>
      </c>
      <c r="C7" s="1">
        <v>1.16662449187804</v>
      </c>
      <c r="D7" s="1">
        <v>-4.3491298821636999E-3</v>
      </c>
      <c r="E7" s="1">
        <v>1.8619385790642999</v>
      </c>
      <c r="F7" s="1">
        <v>40.5775012532782</v>
      </c>
      <c r="G7" s="1">
        <v>2.2873006352020098E-3</v>
      </c>
      <c r="H7" s="1">
        <v>3.9929122334316398E-2</v>
      </c>
      <c r="K7">
        <f>K6/SQRT(18)</f>
        <v>0.19051909527002869</v>
      </c>
    </row>
    <row r="8" spans="1:17" ht="42.75">
      <c r="A8" s="1" t="s">
        <v>14</v>
      </c>
      <c r="B8" s="1">
        <v>9.4032933577094795</v>
      </c>
      <c r="C8" s="1">
        <v>1.1659041486489099</v>
      </c>
      <c r="D8" s="1">
        <v>-1.3556538391969299E-3</v>
      </c>
      <c r="E8" s="1">
        <v>3.04203681128643</v>
      </c>
      <c r="F8" s="1">
        <v>44.111391129829201</v>
      </c>
      <c r="G8" s="1">
        <v>2.28730055965832E-3</v>
      </c>
      <c r="H8" s="1">
        <v>3.84086464084595E-2</v>
      </c>
    </row>
    <row r="9" spans="1:17" ht="42.75">
      <c r="A9" s="1" t="s">
        <v>15</v>
      </c>
      <c r="B9" s="1">
        <v>9.6379596342741998</v>
      </c>
      <c r="C9" s="1">
        <v>1.1642755305347701</v>
      </c>
      <c r="D9" s="1">
        <v>-2.4060577582591899E-3</v>
      </c>
      <c r="E9" s="1">
        <v>2.8621961329564201</v>
      </c>
      <c r="F9" s="1">
        <v>40.497647266388199</v>
      </c>
      <c r="G9" s="1">
        <v>2.2873004961350102E-3</v>
      </c>
      <c r="H9" s="1">
        <v>4.0270956489123703E-2</v>
      </c>
    </row>
    <row r="10" spans="1:17" ht="42.75">
      <c r="A10" s="1" t="s">
        <v>17</v>
      </c>
      <c r="B10" s="1">
        <v>9.6610968436326203</v>
      </c>
      <c r="C10" s="1">
        <v>1.1598671896333499</v>
      </c>
      <c r="D10" s="1">
        <v>-2.0224711289164501E-3</v>
      </c>
      <c r="E10" s="1">
        <v>2.8621418883102199</v>
      </c>
      <c r="F10" s="1">
        <v>42.662469497544897</v>
      </c>
      <c r="G10" s="1">
        <v>2.2932699625688299E-3</v>
      </c>
      <c r="H10" s="1">
        <v>4.0877162789576302E-2</v>
      </c>
    </row>
    <row r="11" spans="1:17" ht="42.75">
      <c r="A11" s="1" t="s">
        <v>18</v>
      </c>
      <c r="B11" s="1">
        <v>9.6309313633213893</v>
      </c>
      <c r="C11" s="1">
        <v>1.15990431303329</v>
      </c>
      <c r="D11" s="1">
        <v>-1.6396888009149999E-3</v>
      </c>
      <c r="E11" s="1">
        <v>2.8632756024422799</v>
      </c>
      <c r="F11" s="1">
        <v>42.333653329173302</v>
      </c>
      <c r="G11" s="1">
        <v>2.2873004957041998E-3</v>
      </c>
      <c r="H11" s="1">
        <v>4.0195639460677099E-2</v>
      </c>
      <c r="I11">
        <f>AVERAGE(G2:G11)</f>
        <v>2.2879625685735773E-3</v>
      </c>
    </row>
    <row r="12" spans="1:17" ht="42.75">
      <c r="A12" s="1" t="s">
        <v>19</v>
      </c>
      <c r="B12" s="1">
        <v>9.6910440303007999</v>
      </c>
      <c r="C12" s="1">
        <v>1.15693775594222</v>
      </c>
      <c r="D12" s="1">
        <v>-1.5183837562695E-3</v>
      </c>
      <c r="E12" s="1">
        <v>2.3624218030430599</v>
      </c>
      <c r="F12" s="1">
        <v>40.563216884066101</v>
      </c>
      <c r="G12" s="1">
        <v>2.3639636188227601E-3</v>
      </c>
      <c r="H12" s="1">
        <v>4.02841943243843E-2</v>
      </c>
    </row>
    <row r="13" spans="1:17" ht="42.75">
      <c r="A13" s="1" t="s">
        <v>20</v>
      </c>
      <c r="B13" s="1">
        <v>9.6362676936265892</v>
      </c>
      <c r="C13" s="1">
        <v>1.15590195383488</v>
      </c>
      <c r="D13" s="1">
        <v>-1.18803906382221E-3</v>
      </c>
      <c r="E13" s="1">
        <v>2.8622903162717002</v>
      </c>
      <c r="F13" s="1">
        <v>42.587992808984602</v>
      </c>
      <c r="G13" s="1">
        <v>2.31428716300758E-3</v>
      </c>
      <c r="H13" s="1">
        <v>3.9879989417801201E-2</v>
      </c>
      <c r="K13">
        <f>1/34.791/2/(2*PI())</f>
        <v>2.2873004957014078E-3</v>
      </c>
    </row>
    <row r="14" spans="1:17" ht="42.75">
      <c r="A14" s="1" t="s">
        <v>21</v>
      </c>
      <c r="B14" s="1">
        <v>9.60932391902959</v>
      </c>
      <c r="C14" s="1">
        <v>1.1558367441499799</v>
      </c>
      <c r="D14" s="1">
        <v>-1.3733091894724001E-3</v>
      </c>
      <c r="E14" s="1">
        <v>2.8625253972792502</v>
      </c>
      <c r="F14" s="1">
        <v>42.460856559737799</v>
      </c>
      <c r="G14" s="1">
        <v>2.3080324228591299E-3</v>
      </c>
      <c r="H14" s="1">
        <v>3.9820041350796802E-2</v>
      </c>
    </row>
    <row r="15" spans="1:17" ht="42.75">
      <c r="A15" s="1" t="s">
        <v>24</v>
      </c>
      <c r="B15" s="1">
        <v>9.6716833225900594</v>
      </c>
      <c r="C15" s="1">
        <v>1.1518146259467701</v>
      </c>
      <c r="D15" s="1">
        <v>-7.4099941619947202E-4</v>
      </c>
      <c r="E15" s="1">
        <v>1.3620118411141799</v>
      </c>
      <c r="F15" s="1">
        <v>41.997559287619801</v>
      </c>
      <c r="G15" s="1">
        <v>2.28730050639451E-3</v>
      </c>
      <c r="H15" s="1">
        <v>4.0275220064021497E-2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2026-04-07T05:14:01Z</dcterms:created>
  <dcterms:modified xsi:type="dcterms:W3CDTF">2026-04-21T16:13:50Z</dcterms:modified>
</cp:coreProperties>
</file>