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iego\git\6s7p\BeatnotePostCombFix\Apr30,2026\"/>
    </mc:Choice>
  </mc:AlternateContent>
  <xr:revisionPtr revIDLastSave="0" documentId="13_ncr:1_{B608BB06-7515-4D24-B05D-645ED08BB5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456" sheetId="1" r:id="rId1"/>
    <sheet name="894" sheetId="2" r:id="rId2"/>
    <sheet name="abs coef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2" i="2" l="1"/>
  <c r="P2" i="2"/>
  <c r="O2" i="2"/>
  <c r="T2" i="2"/>
  <c r="R2" i="2"/>
  <c r="S2" i="2"/>
  <c r="U2" i="2"/>
  <c r="P3" i="2"/>
  <c r="Q3" i="2"/>
  <c r="R3" i="2"/>
  <c r="S3" i="2"/>
  <c r="T3" i="2"/>
  <c r="U3" i="2"/>
  <c r="P4" i="2"/>
  <c r="P5" i="2" s="1"/>
  <c r="Q4" i="2"/>
  <c r="R4" i="2"/>
  <c r="R5" i="2" s="1"/>
  <c r="S4" i="2"/>
  <c r="S5" i="2" s="1"/>
  <c r="T4" i="2"/>
  <c r="T5" i="2" s="1"/>
  <c r="U4" i="2"/>
  <c r="U5" i="2" s="1"/>
  <c r="Q5" i="2"/>
  <c r="O3" i="2"/>
  <c r="P3" i="1"/>
  <c r="Q3" i="1"/>
  <c r="R3" i="1"/>
  <c r="S3" i="1"/>
  <c r="T3" i="1"/>
  <c r="U3" i="1"/>
  <c r="V3" i="1"/>
  <c r="O3" i="1"/>
  <c r="U2" i="1"/>
  <c r="U4" i="1" s="1"/>
  <c r="U5" i="1" s="1"/>
  <c r="P2" i="1"/>
  <c r="Q2" i="1"/>
  <c r="R2" i="1"/>
  <c r="S2" i="1"/>
  <c r="T2" i="1"/>
  <c r="V2" i="1"/>
  <c r="O2" i="1"/>
  <c r="S4" i="1"/>
  <c r="S5" i="1" s="1"/>
  <c r="R4" i="1"/>
  <c r="R5" i="1" s="1"/>
  <c r="Q4" i="1" l="1"/>
  <c r="Q5" i="1" s="1"/>
  <c r="P4" i="1"/>
  <c r="P5" i="1" s="1"/>
  <c r="O4" i="2"/>
  <c r="O5" i="2" s="1"/>
  <c r="V4" i="1"/>
  <c r="V5" i="1" s="1"/>
  <c r="T4" i="1"/>
  <c r="T5" i="1" s="1"/>
  <c r="O4" i="1"/>
  <c r="O5" i="1" s="1"/>
</calcChain>
</file>

<file path=xl/sharedStrings.xml><?xml version="1.0" encoding="utf-8"?>
<sst xmlns="http://schemas.openxmlformats.org/spreadsheetml/2006/main" count="73" uniqueCount="23">
  <si>
    <t>Date</t>
  </si>
  <si>
    <t>Alpha</t>
  </si>
  <si>
    <t>P0</t>
  </si>
  <si>
    <t>h1</t>
  </si>
  <si>
    <t>mv</t>
  </si>
  <si>
    <t>T</t>
  </si>
  <si>
    <t>gamma</t>
  </si>
  <si>
    <t>offset</t>
  </si>
  <si>
    <t>h2</t>
  </si>
  <si>
    <t>mean</t>
  </si>
  <si>
    <t>std</t>
  </si>
  <si>
    <t>std/mean</t>
  </si>
  <si>
    <t>100*std/mean/sqrt(n)</t>
  </si>
  <si>
    <t>Apr30,2026+1-34-02PM</t>
  </si>
  <si>
    <t>Apr30,2026+1-40-58PM</t>
  </si>
  <si>
    <t>Apr30,2026+1-47-52PM</t>
  </si>
  <si>
    <t>Apr30,2026+1-55-02PM</t>
  </si>
  <si>
    <t>Apr30,2026+2-07-48PM</t>
  </si>
  <si>
    <t>Apr30,2026+2-16-05PM</t>
  </si>
  <si>
    <t>Apr30,2026+2-44-45PM</t>
  </si>
  <si>
    <t>Apr30,2026+2-52-50PM</t>
  </si>
  <si>
    <t>Apr30,2026+4-57-35PM</t>
  </si>
  <si>
    <t>Apr30,2026+5-04-53PM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</si>
</sst>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'456'!$B$1</c:f>
              <c:strCache>
                <c:ptCount val="1"/>
                <c:pt idx="0">
                  <c:v>Alpha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'456'!$B$2:$B$23</c:f>
              <c:numCache>
                <c:formatCode>General</c:formatCode>
                <c:ptCount val="22"/>
                <c:pt idx="0">
                  <c:v>0.29417040970736902</c:v>
                </c:pt>
                <c:pt idx="1">
                  <c:v>0.28719108183734599</c:v>
                </c:pt>
                <c:pt idx="2">
                  <c:v>0.29467657189200802</c:v>
                </c:pt>
                <c:pt idx="3">
                  <c:v>0.28714332867616998</c:v>
                </c:pt>
                <c:pt idx="4">
                  <c:v>0.29347425883845102</c:v>
                </c:pt>
                <c:pt idx="5">
                  <c:v>0.29684021671880301</c:v>
                </c:pt>
                <c:pt idx="6">
                  <c:v>0.29402116458354</c:v>
                </c:pt>
                <c:pt idx="7">
                  <c:v>0.29145951272435</c:v>
                </c:pt>
                <c:pt idx="8">
                  <c:v>0.28557182729261599</c:v>
                </c:pt>
                <c:pt idx="9">
                  <c:v>0.28679386504425902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C8-431E-8F1C-25D49AA62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9880751"/>
        <c:axId val="1859882191"/>
      </c:scatterChart>
      <c:valAx>
        <c:axId val="1859880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882191"/>
        <c:crosses val="autoZero"/>
        <c:crossBetween val="midCat"/>
      </c:valAx>
      <c:valAx>
        <c:axId val="185988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880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'456'!$G$1</c:f>
              <c:strCache>
                <c:ptCount val="1"/>
                <c:pt idx="0">
                  <c:v>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'456'!$G$2:$G$22</c:f>
              <c:numCache>
                <c:formatCode>General</c:formatCode>
                <c:ptCount val="21"/>
                <c:pt idx="0">
                  <c:v>40.9297716979924</c:v>
                </c:pt>
                <c:pt idx="1">
                  <c:v>40.612775787545701</c:v>
                </c:pt>
                <c:pt idx="2">
                  <c:v>40.762375561430197</c:v>
                </c:pt>
                <c:pt idx="3">
                  <c:v>40.647806411329597</c:v>
                </c:pt>
                <c:pt idx="4">
                  <c:v>43.2184001287741</c:v>
                </c:pt>
                <c:pt idx="5">
                  <c:v>44.641582087521599</c:v>
                </c:pt>
                <c:pt idx="6">
                  <c:v>43.307797938698798</c:v>
                </c:pt>
                <c:pt idx="7">
                  <c:v>40.669607604722003</c:v>
                </c:pt>
                <c:pt idx="8">
                  <c:v>40.673551320922599</c:v>
                </c:pt>
                <c:pt idx="9">
                  <c:v>40.6715457984265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95-42C4-A71F-B28505132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760544"/>
        <c:axId val="81760960"/>
      </c:scatterChart>
      <c:valAx>
        <c:axId val="81760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60960"/>
        <c:crosses val="autoZero"/>
        <c:crossBetween val="midCat"/>
      </c:valAx>
      <c:valAx>
        <c:axId val="8176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60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'894'!$B$1</c:f>
              <c:strCache>
                <c:ptCount val="1"/>
                <c:pt idx="0">
                  <c:v>Alpha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'894'!$B$2:$B$23</c:f>
              <c:numCache>
                <c:formatCode>General</c:formatCode>
                <c:ptCount val="22"/>
                <c:pt idx="0">
                  <c:v>13.7160155552184</c:v>
                </c:pt>
                <c:pt idx="1">
                  <c:v>13.8393918225721</c:v>
                </c:pt>
                <c:pt idx="2">
                  <c:v>13.956152013717499</c:v>
                </c:pt>
                <c:pt idx="3">
                  <c:v>13.862886107513001</c:v>
                </c:pt>
                <c:pt idx="4">
                  <c:v>13.870436373977901</c:v>
                </c:pt>
                <c:pt idx="5">
                  <c:v>13.8818427089926</c:v>
                </c:pt>
                <c:pt idx="6">
                  <c:v>13.960248028206101</c:v>
                </c:pt>
                <c:pt idx="7">
                  <c:v>13.8729243080874</c:v>
                </c:pt>
                <c:pt idx="8">
                  <c:v>13.7257624065694</c:v>
                </c:pt>
                <c:pt idx="9">
                  <c:v>13.915658491936201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B5-424C-978D-AF315553F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7337951"/>
        <c:axId val="1557339391"/>
      </c:scatterChart>
      <c:valAx>
        <c:axId val="1557337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339391"/>
        <c:crosses val="autoZero"/>
        <c:crossBetween val="midCat"/>
      </c:valAx>
      <c:valAx>
        <c:axId val="155733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337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574675</xdr:colOff>
      <xdr:row>5</xdr:row>
      <xdr:rowOff>520700</xdr:rowOff>
    </xdr:from>
    <xdr:to>
      <xdr:col>23</xdr:col>
      <xdr:colOff>269875</xdr:colOff>
      <xdr:row>10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4D3D36-7D47-2FAB-2A0C-CD1F288004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438150</xdr:colOff>
      <xdr:row>2</xdr:row>
      <xdr:rowOff>261937</xdr:rowOff>
    </xdr:from>
    <xdr:to>
      <xdr:col>23</xdr:col>
      <xdr:colOff>47625</xdr:colOff>
      <xdr:row>7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984F5D-481B-4A09-B073-6BF364D60B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314325</xdr:colOff>
      <xdr:row>6</xdr:row>
      <xdr:rowOff>193675</xdr:rowOff>
    </xdr:from>
    <xdr:to>
      <xdr:col>23</xdr:col>
      <xdr:colOff>9525</xdr:colOff>
      <xdr:row>11</xdr:row>
      <xdr:rowOff>174625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8738E1-9C0C-6650-AE32-6F446F9BF8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2"/>
  <sheetViews>
    <sheetView tabSelected="1" workbookViewId="0">
      <selection activeCell="G2" sqref="F2:G2"/>
    </sheetView>
  </sheetViews>
  <sheetFormatPr defaultRowHeight="15" x14ac:dyDescent="0.25"/>
  <cols>
    <col min="15" max="15" width="11.42578125" bestFit="1" customWidth="1"/>
    <col min="21" max="21" width="10.425781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  <c r="I1" s="1" t="s">
        <v>7</v>
      </c>
      <c r="O1" s="1" t="s">
        <v>1</v>
      </c>
      <c r="P1" s="1" t="s">
        <v>2</v>
      </c>
      <c r="Q1" s="1" t="s">
        <v>3</v>
      </c>
      <c r="R1" s="1" t="s">
        <v>8</v>
      </c>
      <c r="S1" s="1" t="s">
        <v>4</v>
      </c>
      <c r="T1" s="1" t="s">
        <v>5</v>
      </c>
      <c r="U1" s="1" t="s">
        <v>6</v>
      </c>
      <c r="V1" s="1" t="s">
        <v>7</v>
      </c>
    </row>
    <row r="2" spans="1:22" ht="45" x14ac:dyDescent="0.25">
      <c r="A2" s="1" t="s">
        <v>13</v>
      </c>
      <c r="B2" s="1">
        <v>0.29417040970736902</v>
      </c>
      <c r="C2" s="1">
        <v>1.3283710436057301</v>
      </c>
      <c r="D2" s="1">
        <v>-1.31911734041596E-4</v>
      </c>
      <c r="E2" s="2">
        <v>-9.8627932628431002E-5</v>
      </c>
      <c r="F2" s="1">
        <v>2.69339641610744</v>
      </c>
      <c r="G2" s="1">
        <v>40.9297716979924</v>
      </c>
      <c r="H2" s="1">
        <v>7.5215001461198105E-4</v>
      </c>
      <c r="I2" s="1">
        <v>6.1886995977322896E-3</v>
      </c>
      <c r="N2" t="s">
        <v>9</v>
      </c>
      <c r="O2" s="1">
        <f>AVERAGE(B2:B22)</f>
        <v>0.29113422373149117</v>
      </c>
      <c r="P2" s="1">
        <f t="shared" ref="P2:V2" si="0">AVERAGE(C2:C22)</f>
        <v>1.3277535031848611</v>
      </c>
      <c r="Q2" s="1">
        <f t="shared" si="0"/>
        <v>-2.2579675052033965E-4</v>
      </c>
      <c r="R2" s="1">
        <f t="shared" si="0"/>
        <v>-8.769971395728888E-5</v>
      </c>
      <c r="S2" s="1">
        <f t="shared" si="0"/>
        <v>2.2539518290031317</v>
      </c>
      <c r="T2" s="1">
        <f t="shared" si="0"/>
        <v>41.613521433736352</v>
      </c>
      <c r="U2" s="1">
        <f>AVERAGE(H2:H22)</f>
        <v>7.5215001461198105E-4</v>
      </c>
      <c r="V2" s="1">
        <f t="shared" si="0"/>
        <v>6.0057533709531406E-3</v>
      </c>
    </row>
    <row r="3" spans="1:22" ht="45" x14ac:dyDescent="0.25">
      <c r="A3" s="1" t="s">
        <v>14</v>
      </c>
      <c r="B3" s="1">
        <v>0.28719108183734599</v>
      </c>
      <c r="C3" s="1">
        <v>1.32798928309303</v>
      </c>
      <c r="D3" s="1">
        <v>8.3093091823624899E-4</v>
      </c>
      <c r="E3" s="1">
        <v>-2.84925146498897E-4</v>
      </c>
      <c r="F3" s="1">
        <v>2.9344360635266802</v>
      </c>
      <c r="G3" s="1">
        <v>40.612775787545701</v>
      </c>
      <c r="H3" s="1">
        <v>7.5215001461198105E-4</v>
      </c>
      <c r="I3" s="1">
        <v>4.9525568663318503E-3</v>
      </c>
      <c r="N3" t="s">
        <v>10</v>
      </c>
      <c r="O3" s="1">
        <f>_xlfn.STDEV.S(B2:B22)</f>
        <v>4.075613048263582E-3</v>
      </c>
      <c r="P3" s="1">
        <f t="shared" ref="P3:V3" si="1">_xlfn.STDEV.S(C2:C22)</f>
        <v>8.0340256128816454E-4</v>
      </c>
      <c r="Q3" s="1">
        <f t="shared" si="1"/>
        <v>6.820648327154925E-4</v>
      </c>
      <c r="R3" s="1">
        <f t="shared" si="1"/>
        <v>1.2999093441045349E-4</v>
      </c>
      <c r="S3" s="1">
        <f t="shared" si="1"/>
        <v>0.41466174187664245</v>
      </c>
      <c r="T3" s="1">
        <f t="shared" si="1"/>
        <v>1.5056654269460819</v>
      </c>
      <c r="U3" s="1">
        <f t="shared" si="1"/>
        <v>0</v>
      </c>
      <c r="V3" s="1">
        <f t="shared" si="1"/>
        <v>8.3106056481059511E-4</v>
      </c>
    </row>
    <row r="4" spans="1:22" ht="45" x14ac:dyDescent="0.25">
      <c r="A4" s="1" t="s">
        <v>15</v>
      </c>
      <c r="B4" s="1">
        <v>0.29467657189200802</v>
      </c>
      <c r="C4" s="1">
        <v>1.32870443488271</v>
      </c>
      <c r="D4" s="1">
        <v>-7.6038973550405804E-4</v>
      </c>
      <c r="E4" s="2">
        <v>8.3477205176272901E-6</v>
      </c>
      <c r="F4" s="1">
        <v>1.93959590956661</v>
      </c>
      <c r="G4" s="1">
        <v>40.762375561430197</v>
      </c>
      <c r="H4" s="1">
        <v>7.5215001461198105E-4</v>
      </c>
      <c r="I4" s="1">
        <v>4.9734773897663802E-3</v>
      </c>
      <c r="N4" t="s">
        <v>11</v>
      </c>
      <c r="O4" s="1">
        <f>O3/O2</f>
        <v>1.3999086043633469E-2</v>
      </c>
      <c r="P4" s="1">
        <f t="shared" ref="P4:V4" si="2">P3/P2</f>
        <v>6.0508412093137449E-4</v>
      </c>
      <c r="Q4" s="1">
        <f t="shared" si="2"/>
        <v>-3.0207026059662114</v>
      </c>
      <c r="R4" s="1">
        <f t="shared" si="2"/>
        <v>-1.4822275757223233</v>
      </c>
      <c r="S4" s="1">
        <f t="shared" si="2"/>
        <v>0.18397098666480255</v>
      </c>
      <c r="T4" s="1">
        <f t="shared" si="2"/>
        <v>3.6182120019418236E-2</v>
      </c>
      <c r="U4" s="1">
        <f t="shared" si="2"/>
        <v>0</v>
      </c>
      <c r="V4" s="1">
        <f t="shared" si="2"/>
        <v>0.13837740471162605</v>
      </c>
    </row>
    <row r="5" spans="1:22" ht="45" x14ac:dyDescent="0.25">
      <c r="A5" s="1" t="s">
        <v>16</v>
      </c>
      <c r="B5" s="1">
        <v>0.28714332867616998</v>
      </c>
      <c r="C5" s="1">
        <v>1.32781056132773</v>
      </c>
      <c r="D5" s="1">
        <v>-9.3977477902853904E-4</v>
      </c>
      <c r="E5" s="2">
        <v>7.3207313953227096E-5</v>
      </c>
      <c r="F5" s="1">
        <v>2.1906785135802598</v>
      </c>
      <c r="G5" s="1">
        <v>40.647806411329597</v>
      </c>
      <c r="H5" s="1">
        <v>7.5215001461198105E-4</v>
      </c>
      <c r="I5" s="1">
        <v>6.3113081450186098E-3</v>
      </c>
      <c r="N5" t="s">
        <v>12</v>
      </c>
      <c r="O5" s="1">
        <f>O4/SQRT(COUNT(B2:B22)) * 100</f>
        <v>0.44268997058557064</v>
      </c>
      <c r="P5" s="1">
        <f t="shared" ref="P5:V5" si="3">P4/COUNT(B2:B22) * 100</f>
        <v>6.0508412093137447E-3</v>
      </c>
      <c r="Q5" s="1">
        <f t="shared" si="3"/>
        <v>-30.207026059662113</v>
      </c>
      <c r="R5" s="1">
        <f t="shared" si="3"/>
        <v>-14.822275757223233</v>
      </c>
      <c r="S5" s="1">
        <f t="shared" si="3"/>
        <v>1.8397098666480254</v>
      </c>
      <c r="T5" s="1">
        <f t="shared" si="3"/>
        <v>0.36182120019418235</v>
      </c>
      <c r="U5" s="1">
        <f t="shared" si="3"/>
        <v>0</v>
      </c>
      <c r="V5" s="1">
        <f t="shared" si="3"/>
        <v>1.3837740471162605</v>
      </c>
    </row>
    <row r="6" spans="1:22" ht="45" x14ac:dyDescent="0.25">
      <c r="A6" s="1" t="s">
        <v>17</v>
      </c>
      <c r="B6" s="1">
        <v>0.29347425883845102</v>
      </c>
      <c r="C6" s="1">
        <v>1.3277506902926599</v>
      </c>
      <c r="D6" s="1">
        <v>-4.3759798484749898E-4</v>
      </c>
      <c r="E6" s="2">
        <v>-8.90290283599315E-5</v>
      </c>
      <c r="F6" s="1">
        <v>2.1982178804425998</v>
      </c>
      <c r="G6" s="1">
        <v>43.2184001287741</v>
      </c>
      <c r="H6" s="1">
        <v>7.5215001461198105E-4</v>
      </c>
      <c r="I6" s="1">
        <v>6.2575059463181202E-3</v>
      </c>
    </row>
    <row r="7" spans="1:22" ht="45" x14ac:dyDescent="0.25">
      <c r="A7" s="1" t="s">
        <v>18</v>
      </c>
      <c r="B7" s="1">
        <v>0.29684021671880301</v>
      </c>
      <c r="C7" s="1">
        <v>1.32712903647909</v>
      </c>
      <c r="D7" s="2">
        <v>3.9719238280286998E-5</v>
      </c>
      <c r="E7" s="1">
        <v>-1.5727791690860199E-4</v>
      </c>
      <c r="F7" s="1">
        <v>2.4017916589049801</v>
      </c>
      <c r="G7" s="1">
        <v>44.641582087521599</v>
      </c>
      <c r="H7" s="1">
        <v>7.5215001461198105E-4</v>
      </c>
      <c r="I7" s="1">
        <v>6.2138235429797196E-3</v>
      </c>
    </row>
    <row r="8" spans="1:22" ht="45" x14ac:dyDescent="0.25">
      <c r="A8" s="1" t="s">
        <v>19</v>
      </c>
      <c r="B8" s="1">
        <v>0.29402116458354</v>
      </c>
      <c r="C8" s="1">
        <v>1.3268893916153699</v>
      </c>
      <c r="D8" s="1">
        <v>-1.7510242234807801E-4</v>
      </c>
      <c r="E8" s="1">
        <v>-1.42738148404254E-4</v>
      </c>
      <c r="F8" s="1">
        <v>1.8983455700957099</v>
      </c>
      <c r="G8" s="1">
        <v>43.307797938698798</v>
      </c>
      <c r="H8" s="1">
        <v>7.5215001461198105E-4</v>
      </c>
      <c r="I8" s="1">
        <v>6.9849147456557898E-3</v>
      </c>
    </row>
    <row r="9" spans="1:22" ht="45" x14ac:dyDescent="0.25">
      <c r="A9" s="1" t="s">
        <v>20</v>
      </c>
      <c r="B9" s="1">
        <v>0.29145951272435</v>
      </c>
      <c r="C9" s="1">
        <v>1.32669353095172</v>
      </c>
      <c r="D9" s="1">
        <v>-7.64653587029639E-4</v>
      </c>
      <c r="E9" s="2">
        <v>2.2098602423315799E-5</v>
      </c>
      <c r="F9" s="1">
        <v>1.89637292956308</v>
      </c>
      <c r="G9" s="1">
        <v>40.669607604722003</v>
      </c>
      <c r="H9" s="1">
        <v>7.5215001461198105E-4</v>
      </c>
      <c r="I9" s="1">
        <v>7.4042295861816302E-3</v>
      </c>
    </row>
    <row r="10" spans="1:22" ht="45" x14ac:dyDescent="0.25">
      <c r="A10" s="1" t="s">
        <v>21</v>
      </c>
      <c r="B10" s="1">
        <v>0.28557182729261599</v>
      </c>
      <c r="C10" s="1">
        <v>1.32710697980962</v>
      </c>
      <c r="D10" s="1">
        <v>9.66647795426966E-4</v>
      </c>
      <c r="E10" s="1">
        <v>-2.7356155017862701E-4</v>
      </c>
      <c r="F10" s="1">
        <v>2.6942793926608699</v>
      </c>
      <c r="G10" s="1">
        <v>40.673551320922599</v>
      </c>
      <c r="H10" s="1">
        <v>7.5215001461198105E-4</v>
      </c>
      <c r="I10" s="1">
        <v>5.6342394882819202E-3</v>
      </c>
    </row>
    <row r="11" spans="1:22" ht="45" x14ac:dyDescent="0.25">
      <c r="A11" s="1" t="s">
        <v>22</v>
      </c>
      <c r="B11" s="1">
        <v>0.28679386504425902</v>
      </c>
      <c r="C11" s="1">
        <v>1.32909007979095</v>
      </c>
      <c r="D11" s="1">
        <v>-8.8583521434748905E-4</v>
      </c>
      <c r="E11" s="2">
        <v>6.5508946511683603E-5</v>
      </c>
      <c r="F11" s="1">
        <v>1.6924039555830901</v>
      </c>
      <c r="G11" s="1">
        <v>40.6715457984265</v>
      </c>
      <c r="H11" s="1">
        <v>7.5215001461198105E-4</v>
      </c>
      <c r="I11" s="1">
        <v>5.1367784012651E-3</v>
      </c>
    </row>
    <row r="12" spans="1:22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22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22" x14ac:dyDescent="0.25">
      <c r="A14" s="1"/>
      <c r="B14" s="1"/>
      <c r="C14" s="1"/>
      <c r="D14" s="1"/>
      <c r="E14" s="1"/>
      <c r="F14" s="1"/>
      <c r="G14" s="1"/>
      <c r="H14" s="1"/>
      <c r="I14" s="1"/>
    </row>
    <row r="15" spans="1:22" x14ac:dyDescent="0.25">
      <c r="A15" s="1"/>
      <c r="B15" s="1"/>
      <c r="C15" s="1"/>
      <c r="D15" s="1"/>
      <c r="E15" s="1"/>
      <c r="F15" s="1"/>
      <c r="G15" s="1"/>
      <c r="H15" s="1"/>
      <c r="I15" s="1"/>
    </row>
    <row r="16" spans="1:22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25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25">
      <c r="A22" s="1"/>
      <c r="B22" s="1"/>
      <c r="C22" s="1"/>
      <c r="D22" s="1"/>
      <c r="E22" s="1"/>
      <c r="F22" s="1"/>
      <c r="G22" s="1"/>
      <c r="H22" s="1"/>
      <c r="I22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93493-8AF1-41A2-BECD-C23FCCD7B8BC}">
  <dimension ref="A1:V22"/>
  <sheetViews>
    <sheetView workbookViewId="0">
      <selection sqref="A1:B1048576"/>
    </sheetView>
  </sheetViews>
  <sheetFormatPr defaultRowHeight="15" x14ac:dyDescent="0.25"/>
  <cols>
    <col min="15" max="15" width="11.425781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O1" s="1" t="s">
        <v>1</v>
      </c>
      <c r="P1" s="1" t="s">
        <v>2</v>
      </c>
      <c r="Q1" s="1" t="s">
        <v>3</v>
      </c>
      <c r="R1" s="1" t="s">
        <v>4</v>
      </c>
      <c r="S1" s="1" t="s">
        <v>5</v>
      </c>
      <c r="T1" s="1" t="s">
        <v>6</v>
      </c>
      <c r="U1" s="1" t="s">
        <v>7</v>
      </c>
    </row>
    <row r="2" spans="1:22" ht="45" x14ac:dyDescent="0.25">
      <c r="A2" s="1" t="s">
        <v>13</v>
      </c>
      <c r="B2" s="1">
        <v>13.7160155552184</v>
      </c>
      <c r="C2" s="1">
        <v>1.14852538759481</v>
      </c>
      <c r="D2" s="1">
        <v>-2.94271114994167E-3</v>
      </c>
      <c r="E2" s="1">
        <v>2.1832242773378301</v>
      </c>
      <c r="F2" s="1">
        <v>44.603009992094101</v>
      </c>
      <c r="G2" s="1">
        <v>2.2873004957014E-3</v>
      </c>
      <c r="H2" s="1">
        <v>5.7512467021817303E-2</v>
      </c>
      <c r="N2" t="s">
        <v>9</v>
      </c>
      <c r="O2" s="1">
        <f>AVERAGE(B2:B22)</f>
        <v>13.860131781679062</v>
      </c>
      <c r="P2" s="1">
        <f>AVERAGE(C2:C22)</f>
        <v>1.1486345568445191</v>
      </c>
      <c r="Q2" s="1">
        <f>AVERAGE(D2:D22)</f>
        <v>-2.8896286059383052E-3</v>
      </c>
      <c r="R2" s="1">
        <f t="shared" ref="R2:U2" si="0">AVERAGE(E2:E22)</f>
        <v>2.172674293158475</v>
      </c>
      <c r="S2" s="1">
        <f t="shared" si="0"/>
        <v>41.398588927764145</v>
      </c>
      <c r="T2" s="1">
        <f>AVERAGE(G2:G22)</f>
        <v>2.2873004957013996E-3</v>
      </c>
      <c r="U2" s="1">
        <f t="shared" si="0"/>
        <v>5.5331549005396427E-2</v>
      </c>
      <c r="V2" s="1"/>
    </row>
    <row r="3" spans="1:22" ht="45" x14ac:dyDescent="0.25">
      <c r="A3" s="1" t="s">
        <v>14</v>
      </c>
      <c r="B3" s="1">
        <v>13.8393918225721</v>
      </c>
      <c r="C3" s="1">
        <v>1.1458355257584101</v>
      </c>
      <c r="D3" s="1">
        <v>-3.1413413481067702E-3</v>
      </c>
      <c r="E3" s="1">
        <v>2.1826702229205401</v>
      </c>
      <c r="F3" s="1">
        <v>43.150599591354002</v>
      </c>
      <c r="G3" s="1">
        <v>2.2873004957014E-3</v>
      </c>
      <c r="H3" s="1">
        <v>5.6488126577901601E-2</v>
      </c>
      <c r="N3" t="s">
        <v>10</v>
      </c>
      <c r="O3" s="1">
        <f>_xlfn.STDEV.S(B2:B22)</f>
        <v>8.3219862053415361E-2</v>
      </c>
      <c r="P3" s="1">
        <f t="shared" ref="P3:U3" si="1">_xlfn.STDEV.S(C2:C22)</f>
        <v>3.3946393721538187E-3</v>
      </c>
      <c r="Q3" s="1">
        <f t="shared" si="1"/>
        <v>2.7625535988900503E-4</v>
      </c>
      <c r="R3" s="1">
        <f t="shared" si="1"/>
        <v>2.1390403734801E-2</v>
      </c>
      <c r="S3" s="1">
        <f t="shared" si="1"/>
        <v>1.3644464775477656</v>
      </c>
      <c r="T3" s="1">
        <f t="shared" si="1"/>
        <v>4.5713977455425797E-19</v>
      </c>
      <c r="U3" s="1">
        <f t="shared" si="1"/>
        <v>1.1981788585369803E-3</v>
      </c>
      <c r="V3" s="1"/>
    </row>
    <row r="4" spans="1:22" ht="45" x14ac:dyDescent="0.25">
      <c r="A4" s="1" t="s">
        <v>15</v>
      </c>
      <c r="B4" s="1">
        <v>13.956152013717499</v>
      </c>
      <c r="C4" s="1">
        <v>1.14530195379663</v>
      </c>
      <c r="D4" s="1">
        <v>-2.8706789816157902E-3</v>
      </c>
      <c r="E4" s="1">
        <v>2.1838641348835401</v>
      </c>
      <c r="F4" s="1">
        <v>41.009978030980299</v>
      </c>
      <c r="G4" s="1">
        <v>2.2873004957014E-3</v>
      </c>
      <c r="H4" s="1">
        <v>5.60010334255771E-2</v>
      </c>
      <c r="N4" t="s">
        <v>11</v>
      </c>
      <c r="O4" s="1">
        <f>O3/O2</f>
        <v>6.0042619626040697E-3</v>
      </c>
      <c r="P4" s="1">
        <f t="shared" ref="P4:U4" si="2">P3/P2</f>
        <v>2.9553693574041777E-3</v>
      </c>
      <c r="Q4" s="1">
        <f t="shared" si="2"/>
        <v>-9.5602375793653535E-2</v>
      </c>
      <c r="R4" s="1">
        <f t="shared" si="2"/>
        <v>9.8451957581295792E-3</v>
      </c>
      <c r="S4" s="1">
        <f t="shared" si="2"/>
        <v>3.2958767747581212E-2</v>
      </c>
      <c r="T4" s="1">
        <f t="shared" si="2"/>
        <v>1.9985995518008064E-16</v>
      </c>
      <c r="U4" s="1">
        <f t="shared" si="2"/>
        <v>2.1654533084192587E-2</v>
      </c>
      <c r="V4" s="1"/>
    </row>
    <row r="5" spans="1:22" ht="45" x14ac:dyDescent="0.25">
      <c r="A5" s="1" t="s">
        <v>16</v>
      </c>
      <c r="B5" s="1">
        <v>13.862886107513001</v>
      </c>
      <c r="C5" s="1">
        <v>1.14656772968097</v>
      </c>
      <c r="D5" s="1">
        <v>-3.0042634690475101E-3</v>
      </c>
      <c r="E5" s="1">
        <v>2.1833881874726102</v>
      </c>
      <c r="F5" s="1">
        <v>40.647792000863902</v>
      </c>
      <c r="G5" s="1">
        <v>2.2873004957014E-3</v>
      </c>
      <c r="H5" s="1">
        <v>5.5275583849693E-2</v>
      </c>
      <c r="N5" t="s">
        <v>12</v>
      </c>
      <c r="O5" s="1">
        <f>O4/SQRT(COUNT(B2:B22)) * 100</f>
        <v>0.18987143470141599</v>
      </c>
      <c r="P5" s="1">
        <f t="shared" ref="P5:U5" si="3">P4/SQRT(COUNT(C2:C22)) * 100</f>
        <v>9.34569849646541E-2</v>
      </c>
      <c r="Q5" s="1">
        <f t="shared" si="3"/>
        <v>-3.0232125723129277</v>
      </c>
      <c r="R5" s="1">
        <f t="shared" si="3"/>
        <v>0.3113324260591766</v>
      </c>
      <c r="S5" s="1">
        <f t="shared" si="3"/>
        <v>1.0422477495485416</v>
      </c>
      <c r="T5" s="1">
        <f t="shared" si="3"/>
        <v>6.3201267142822251E-15</v>
      </c>
      <c r="U5" s="1">
        <f t="shared" si="3"/>
        <v>0.68477646213519294</v>
      </c>
      <c r="V5" s="1"/>
    </row>
    <row r="6" spans="1:22" ht="45" x14ac:dyDescent="0.25">
      <c r="A6" s="1" t="s">
        <v>17</v>
      </c>
      <c r="B6" s="1">
        <v>13.870436373977901</v>
      </c>
      <c r="C6" s="1">
        <v>1.1473957827711201</v>
      </c>
      <c r="D6" s="1">
        <v>-2.9268980433590302E-3</v>
      </c>
      <c r="E6" s="1">
        <v>2.1835142894839401</v>
      </c>
      <c r="F6" s="1">
        <v>40.671688001436799</v>
      </c>
      <c r="G6" s="1">
        <v>2.2873004957014E-3</v>
      </c>
      <c r="H6" s="1">
        <v>5.48715821415219E-2</v>
      </c>
    </row>
    <row r="7" spans="1:22" ht="45" x14ac:dyDescent="0.25">
      <c r="A7" s="1" t="s">
        <v>18</v>
      </c>
      <c r="B7" s="1">
        <v>13.8818427089926</v>
      </c>
      <c r="C7" s="1">
        <v>1.14776698321383</v>
      </c>
      <c r="D7" s="1">
        <v>-3.1179056440687101E-3</v>
      </c>
      <c r="E7" s="1">
        <v>2.18279132722901</v>
      </c>
      <c r="F7" s="1">
        <v>40.643219333333597</v>
      </c>
      <c r="G7" s="1">
        <v>2.2873004957014E-3</v>
      </c>
      <c r="H7" s="1">
        <v>5.4800143711882202E-2</v>
      </c>
    </row>
    <row r="8" spans="1:22" ht="45" x14ac:dyDescent="0.25">
      <c r="A8" s="1" t="s">
        <v>19</v>
      </c>
      <c r="B8" s="1">
        <v>13.960248028206101</v>
      </c>
      <c r="C8" s="1">
        <v>1.1479876118427501</v>
      </c>
      <c r="D8" s="1">
        <v>-2.9777150294728501E-3</v>
      </c>
      <c r="E8" s="1">
        <v>2.1817902227997101</v>
      </c>
      <c r="F8" s="1">
        <v>40.676310000120402</v>
      </c>
      <c r="G8" s="1">
        <v>2.2873004957014E-3</v>
      </c>
      <c r="H8" s="1">
        <v>5.5495635971957502E-2</v>
      </c>
    </row>
    <row r="9" spans="1:22" ht="45" x14ac:dyDescent="0.25">
      <c r="A9" s="1" t="s">
        <v>20</v>
      </c>
      <c r="B9" s="1">
        <v>13.8729243080874</v>
      </c>
      <c r="C9" s="1">
        <v>1.14736480625128</v>
      </c>
      <c r="D9" s="1">
        <v>-3.1224712645361499E-3</v>
      </c>
      <c r="E9" s="1">
        <v>2.1812561825219001</v>
      </c>
      <c r="F9" s="1">
        <v>40.669607334768202</v>
      </c>
      <c r="G9" s="1">
        <v>2.2873004957014E-3</v>
      </c>
      <c r="H9" s="1">
        <v>5.5495036870518002E-2</v>
      </c>
    </row>
    <row r="10" spans="1:22" ht="45" x14ac:dyDescent="0.25">
      <c r="A10" s="1" t="s">
        <v>21</v>
      </c>
      <c r="B10" s="1">
        <v>13.7257624065694</v>
      </c>
      <c r="C10" s="1">
        <v>1.1550708820436699</v>
      </c>
      <c r="D10" s="1">
        <v>-2.4444228151730501E-3</v>
      </c>
      <c r="E10" s="1">
        <v>2.13136551412064</v>
      </c>
      <c r="F10" s="1">
        <v>40.673550667162999</v>
      </c>
      <c r="G10" s="1">
        <v>2.2873004957014E-3</v>
      </c>
      <c r="H10" s="1">
        <v>5.3227091472079102E-2</v>
      </c>
    </row>
    <row r="11" spans="1:22" ht="45" x14ac:dyDescent="0.25">
      <c r="A11" s="1" t="s">
        <v>22</v>
      </c>
      <c r="B11" s="1">
        <v>13.915658491936201</v>
      </c>
      <c r="C11" s="1">
        <v>1.15452890549172</v>
      </c>
      <c r="D11" s="1">
        <v>-2.3478783140615201E-3</v>
      </c>
      <c r="E11" s="1">
        <v>2.1328785728150299</v>
      </c>
      <c r="F11" s="1">
        <v>41.240134325527102</v>
      </c>
      <c r="G11" s="1">
        <v>2.2873004957014E-3</v>
      </c>
      <c r="H11" s="1">
        <v>5.41487890110166E-2</v>
      </c>
    </row>
    <row r="12" spans="1:22" x14ac:dyDescent="0.25">
      <c r="A12" s="1"/>
      <c r="B12" s="1"/>
      <c r="C12" s="1"/>
      <c r="D12" s="1"/>
      <c r="E12" s="1"/>
      <c r="F12" s="1"/>
      <c r="G12" s="1"/>
      <c r="H12" s="1"/>
    </row>
    <row r="13" spans="1:22" x14ac:dyDescent="0.25">
      <c r="A13" s="1"/>
      <c r="B13" s="1"/>
      <c r="C13" s="1"/>
      <c r="D13" s="1"/>
      <c r="E13" s="1"/>
      <c r="F13" s="1"/>
      <c r="G13" s="1"/>
      <c r="H13" s="1"/>
    </row>
    <row r="14" spans="1:22" x14ac:dyDescent="0.25">
      <c r="A14" s="1"/>
      <c r="B14" s="1"/>
      <c r="C14" s="1"/>
      <c r="D14" s="1"/>
      <c r="E14" s="1"/>
      <c r="F14" s="1"/>
      <c r="G14" s="1"/>
      <c r="H14" s="1"/>
    </row>
    <row r="15" spans="1:22" x14ac:dyDescent="0.25">
      <c r="A15" s="1"/>
      <c r="B15" s="1"/>
      <c r="C15" s="1"/>
      <c r="D15" s="1"/>
      <c r="E15" s="1"/>
      <c r="F15" s="1"/>
      <c r="G15" s="1"/>
      <c r="H15" s="1"/>
    </row>
    <row r="16" spans="1:22" x14ac:dyDescent="0.25">
      <c r="A16" s="1"/>
      <c r="B16" s="1"/>
      <c r="C16" s="1"/>
      <c r="D16" s="1"/>
      <c r="E16" s="1"/>
      <c r="F16" s="1"/>
      <c r="G16" s="1"/>
      <c r="H16" s="1"/>
    </row>
    <row r="17" spans="1:8" x14ac:dyDescent="0.25">
      <c r="A17" s="1"/>
      <c r="B17" s="1"/>
      <c r="C17" s="1"/>
      <c r="D17" s="1"/>
      <c r="E17" s="1"/>
      <c r="F17" s="1"/>
      <c r="G17" s="1"/>
      <c r="H17" s="1"/>
    </row>
    <row r="18" spans="1:8" x14ac:dyDescent="0.25">
      <c r="A18" s="1"/>
      <c r="B18" s="1"/>
      <c r="C18" s="1"/>
      <c r="D18" s="1"/>
      <c r="E18" s="1"/>
      <c r="F18" s="1"/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1"/>
      <c r="B20" s="1"/>
      <c r="C20" s="1"/>
      <c r="D20" s="1"/>
      <c r="E20" s="1"/>
      <c r="F20" s="1"/>
      <c r="G20" s="1"/>
      <c r="H20" s="1"/>
    </row>
    <row r="21" spans="1:8" x14ac:dyDescent="0.25">
      <c r="A21" s="1"/>
      <c r="B21" s="1"/>
      <c r="C21" s="1"/>
      <c r="D21" s="1"/>
      <c r="E21" s="1"/>
      <c r="F21" s="1"/>
      <c r="G21" s="1"/>
      <c r="H21" s="1"/>
    </row>
    <row r="22" spans="1:8" x14ac:dyDescent="0.25">
      <c r="A22" s="1"/>
      <c r="B22" s="1"/>
      <c r="C22" s="1"/>
      <c r="D22" s="1"/>
      <c r="E22" s="1"/>
      <c r="F22" s="1"/>
      <c r="G22" s="1"/>
      <c r="H22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49B09-0597-442B-9E81-527CD187BB1B}">
  <dimension ref="A1:C22"/>
  <sheetViews>
    <sheetView workbookViewId="0">
      <selection activeCell="F3" sqref="F3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1</v>
      </c>
    </row>
    <row r="2" spans="1:3" ht="45" x14ac:dyDescent="0.25">
      <c r="A2" s="1" t="s">
        <v>13</v>
      </c>
      <c r="B2" s="1">
        <v>0.29417040970736902</v>
      </c>
      <c r="C2" s="1">
        <v>13.7160155552184</v>
      </c>
    </row>
    <row r="3" spans="1:3" ht="45" x14ac:dyDescent="0.25">
      <c r="A3" s="1" t="s">
        <v>14</v>
      </c>
      <c r="B3" s="1">
        <v>0.28719108183734599</v>
      </c>
      <c r="C3" s="1">
        <v>13.8393918225721</v>
      </c>
    </row>
    <row r="4" spans="1:3" ht="45" x14ac:dyDescent="0.25">
      <c r="A4" s="1" t="s">
        <v>15</v>
      </c>
      <c r="B4" s="1">
        <v>0.29467657189200802</v>
      </c>
      <c r="C4" s="1">
        <v>13.956152013717499</v>
      </c>
    </row>
    <row r="5" spans="1:3" ht="45" x14ac:dyDescent="0.25">
      <c r="A5" s="1" t="s">
        <v>16</v>
      </c>
      <c r="B5" s="1">
        <v>0.28714332867616998</v>
      </c>
      <c r="C5" s="1">
        <v>13.862886107513001</v>
      </c>
    </row>
    <row r="6" spans="1:3" ht="45" x14ac:dyDescent="0.25">
      <c r="A6" s="1" t="s">
        <v>17</v>
      </c>
      <c r="B6" s="1">
        <v>0.29347425883845102</v>
      </c>
      <c r="C6" s="1">
        <v>13.870436373977901</v>
      </c>
    </row>
    <row r="7" spans="1:3" ht="45" x14ac:dyDescent="0.25">
      <c r="A7" s="1" t="s">
        <v>18</v>
      </c>
      <c r="B7" s="1">
        <v>0.29684021671880301</v>
      </c>
      <c r="C7" s="1">
        <v>13.8818427089926</v>
      </c>
    </row>
    <row r="8" spans="1:3" ht="45" x14ac:dyDescent="0.25">
      <c r="A8" s="1" t="s">
        <v>19</v>
      </c>
      <c r="B8" s="1">
        <v>0.29402116458354</v>
      </c>
      <c r="C8" s="1">
        <v>13.960248028206101</v>
      </c>
    </row>
    <row r="9" spans="1:3" ht="45" x14ac:dyDescent="0.25">
      <c r="A9" s="1" t="s">
        <v>20</v>
      </c>
      <c r="B9" s="1">
        <v>0.29145951272435</v>
      </c>
      <c r="C9" s="1">
        <v>13.8729243080874</v>
      </c>
    </row>
    <row r="10" spans="1:3" ht="45" x14ac:dyDescent="0.25">
      <c r="A10" s="1" t="s">
        <v>21</v>
      </c>
      <c r="B10" s="1">
        <v>0.28557182729261599</v>
      </c>
      <c r="C10" s="1">
        <v>13.7257624065694</v>
      </c>
    </row>
    <row r="11" spans="1:3" ht="45" x14ac:dyDescent="0.25">
      <c r="A11" s="1" t="s">
        <v>22</v>
      </c>
      <c r="B11" s="1">
        <v>0.28679386504425902</v>
      </c>
      <c r="C11" s="1">
        <v>13.915658491936201</v>
      </c>
    </row>
    <row r="12" spans="1:3" x14ac:dyDescent="0.25">
      <c r="C12" s="1"/>
    </row>
    <row r="13" spans="1:3" x14ac:dyDescent="0.25">
      <c r="C13" s="1"/>
    </row>
    <row r="14" spans="1:3" x14ac:dyDescent="0.25">
      <c r="C14" s="1"/>
    </row>
    <row r="15" spans="1:3" x14ac:dyDescent="0.25">
      <c r="C15" s="1"/>
    </row>
    <row r="16" spans="1:3" x14ac:dyDescent="0.25">
      <c r="C16" s="1"/>
    </row>
    <row r="17" spans="3:3" x14ac:dyDescent="0.25">
      <c r="C17" s="1"/>
    </row>
    <row r="18" spans="3:3" x14ac:dyDescent="0.25">
      <c r="C18" s="1"/>
    </row>
    <row r="19" spans="3:3" x14ac:dyDescent="0.25">
      <c r="C19" s="1"/>
    </row>
    <row r="20" spans="3:3" x14ac:dyDescent="0.25">
      <c r="C20" s="1"/>
    </row>
    <row r="21" spans="3:3" x14ac:dyDescent="0.25">
      <c r="C21" s="1"/>
    </row>
    <row r="22" spans="3:3" x14ac:dyDescent="0.25">
      <c r="C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456</vt:lpstr>
      <vt:lpstr>894</vt:lpstr>
      <vt:lpstr>abs coeff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Garcia</dc:creator>
  <cp:lastModifiedBy>Diego Esteban Garcia</cp:lastModifiedBy>
  <dcterms:created xsi:type="dcterms:W3CDTF">2015-06-05T18:17:20Z</dcterms:created>
  <dcterms:modified xsi:type="dcterms:W3CDTF">2026-05-11T23:32:20Z</dcterms:modified>
</cp:coreProperties>
</file>