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Apr15,2026\"/>
    </mc:Choice>
  </mc:AlternateContent>
  <xr:revisionPtr revIDLastSave="0" documentId="13_ncr:1_{5249C844-3F51-4659-943A-3E58FE6DAD1F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456" sheetId="1" r:id="rId1"/>
    <sheet name="894" sheetId="2" r:id="rId2"/>
    <sheet name="abs 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O2" i="2"/>
  <c r="P2" i="2"/>
  <c r="Q2" i="2"/>
  <c r="R2" i="2"/>
  <c r="S2" i="2"/>
  <c r="N3" i="2"/>
  <c r="N4" i="2" s="1"/>
  <c r="N5" i="2" s="1"/>
  <c r="O3" i="2"/>
  <c r="P3" i="2"/>
  <c r="Q3" i="2"/>
  <c r="R3" i="2"/>
  <c r="S3" i="2"/>
  <c r="O4" i="2"/>
  <c r="P4" i="2"/>
  <c r="Q4" i="2"/>
  <c r="R4" i="2"/>
  <c r="S4" i="2"/>
  <c r="O5" i="2"/>
  <c r="P5" i="2"/>
  <c r="Q5" i="2"/>
  <c r="R5" i="2"/>
  <c r="S5" i="2"/>
  <c r="M5" i="2"/>
  <c r="M3" i="2"/>
  <c r="M2" i="2"/>
  <c r="R3" i="1"/>
  <c r="R4" i="1" s="1"/>
  <c r="R5" i="1" s="1"/>
  <c r="Q3" i="1"/>
  <c r="Q4" i="1" s="1"/>
  <c r="Q5" i="1" s="1"/>
  <c r="O5" i="1"/>
  <c r="O2" i="1"/>
  <c r="V3" i="1"/>
  <c r="V4" i="1" s="1"/>
  <c r="V5" i="1" s="1"/>
  <c r="U3" i="1"/>
  <c r="U4" i="1" s="1"/>
  <c r="U5" i="1" s="1"/>
  <c r="T3" i="1"/>
  <c r="T4" i="1" s="1"/>
  <c r="T5" i="1" s="1"/>
  <c r="S3" i="1"/>
  <c r="S4" i="1" s="1"/>
  <c r="S5" i="1" s="1"/>
  <c r="P3" i="1"/>
  <c r="P4" i="1" s="1"/>
  <c r="P5" i="1" s="1"/>
  <c r="O3" i="1"/>
  <c r="V2" i="1"/>
  <c r="U2" i="1"/>
  <c r="T2" i="1"/>
  <c r="S2" i="1"/>
  <c r="R2" i="1"/>
  <c r="Q2" i="1"/>
  <c r="P2" i="1"/>
  <c r="M4" i="2" l="1"/>
  <c r="O4" i="1"/>
</calcChain>
</file>

<file path=xl/sharedStrings.xml><?xml version="1.0" encoding="utf-8"?>
<sst xmlns="http://schemas.openxmlformats.org/spreadsheetml/2006/main" count="100" uniqueCount="30">
  <si>
    <t>Date</t>
  </si>
  <si>
    <t>Alpha</t>
  </si>
  <si>
    <t>P0</t>
  </si>
  <si>
    <t>h1</t>
  </si>
  <si>
    <t>mv</t>
  </si>
  <si>
    <t>T</t>
  </si>
  <si>
    <t>gamma</t>
  </si>
  <si>
    <t>offset</t>
  </si>
  <si>
    <t>Apr15,2026+1-18-12PM</t>
  </si>
  <si>
    <t>Apr15,2026+1-32-01PM</t>
  </si>
  <si>
    <t>Apr15,2026+2-01-24PM</t>
  </si>
  <si>
    <t>Apr15,2026+2-15-31PM</t>
  </si>
  <si>
    <t>Apr15,2026+2-22-50PM</t>
  </si>
  <si>
    <t>Apr15,2026+3-41-12PM</t>
  </si>
  <si>
    <t>Apr15,2026+3-48-58PM</t>
  </si>
  <si>
    <t>Apr15,2026+4-07-10PM</t>
  </si>
  <si>
    <t>Apr15,2026+4-14-28PM</t>
  </si>
  <si>
    <t>Apr15,2026+4-25-50PM</t>
  </si>
  <si>
    <t>Apr15,2026+4-33-42PM</t>
  </si>
  <si>
    <t>Apr15,2026+5-30-35PM</t>
  </si>
  <si>
    <t>Apr15,2026+5-38-18PM</t>
  </si>
  <si>
    <t>Apr15,2026+5-45-30PM</t>
  </si>
  <si>
    <t>Apr15,2026+6-03-04PM</t>
  </si>
  <si>
    <t>456 Alpha</t>
  </si>
  <si>
    <t>894 Alpha</t>
  </si>
  <si>
    <t>h2</t>
  </si>
  <si>
    <t>mean</t>
  </si>
  <si>
    <t>std</t>
  </si>
  <si>
    <t>std/mean</t>
  </si>
  <si>
    <t>100*std/mean/sqrt(n)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</si>
</sst>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456 Absorption Coefficients, April 15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'456'!$B$2:$B$17</c:f>
              <c:numCache>
                <c:formatCode>General</c:formatCode>
                <c:ptCount val="16"/>
                <c:pt idx="0">
                  <c:v>0.226502885502018</c:v>
                </c:pt>
                <c:pt idx="1">
                  <c:v>0.22905609687609699</c:v>
                </c:pt>
                <c:pt idx="2">
                  <c:v>0.21044075056483699</c:v>
                </c:pt>
                <c:pt idx="3">
                  <c:v>0.20831881304194799</c:v>
                </c:pt>
                <c:pt idx="4">
                  <c:v>0.22165088594058599</c:v>
                </c:pt>
                <c:pt idx="5">
                  <c:v>0.21727940824837899</c:v>
                </c:pt>
                <c:pt idx="6">
                  <c:v>0.21138090418143601</c:v>
                </c:pt>
                <c:pt idx="7">
                  <c:v>0.21168047971309101</c:v>
                </c:pt>
                <c:pt idx="8">
                  <c:v>0.207005020708038</c:v>
                </c:pt>
                <c:pt idx="9">
                  <c:v>0.208538270537558</c:v>
                </c:pt>
                <c:pt idx="10">
                  <c:v>0.224232801729676</c:v>
                </c:pt>
                <c:pt idx="11">
                  <c:v>0.200587713189394</c:v>
                </c:pt>
                <c:pt idx="12">
                  <c:v>0.19938440199392901</c:v>
                </c:pt>
                <c:pt idx="13">
                  <c:v>0.199439368084601</c:v>
                </c:pt>
                <c:pt idx="14">
                  <c:v>0.20250818373598001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A-447A-B980-7AE5333C3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81583"/>
        <c:axId val="1270421263"/>
      </c:scatterChart>
      <c:valAx>
        <c:axId val="185918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21263"/>
        <c:crosses val="autoZero"/>
        <c:crossBetween val="midCat"/>
      </c:valAx>
      <c:valAx>
        <c:axId val="12704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18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894 Absorption Coefficients, April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'894'!$B$2:$B$15</c:f>
              <c:numCache>
                <c:formatCode>General</c:formatCode>
                <c:ptCount val="14"/>
                <c:pt idx="0">
                  <c:v>11.2777289821152</c:v>
                </c:pt>
                <c:pt idx="1">
                  <c:v>11.278006941590499</c:v>
                </c:pt>
                <c:pt idx="2">
                  <c:v>11.3818951930638</c:v>
                </c:pt>
                <c:pt idx="3">
                  <c:v>11.2548694993267</c:v>
                </c:pt>
                <c:pt idx="4">
                  <c:v>11.2682398497828</c:v>
                </c:pt>
                <c:pt idx="5">
                  <c:v>11.3560069963006</c:v>
                </c:pt>
                <c:pt idx="6">
                  <c:v>11.1790158326138</c:v>
                </c:pt>
                <c:pt idx="7">
                  <c:v>11.2611324831582</c:v>
                </c:pt>
                <c:pt idx="8">
                  <c:v>11.2809006876483</c:v>
                </c:pt>
                <c:pt idx="9">
                  <c:v>11.360011415584401</c:v>
                </c:pt>
                <c:pt idx="10">
                  <c:v>11.3832786068325</c:v>
                </c:pt>
                <c:pt idx="11">
                  <c:v>11.342415370079401</c:v>
                </c:pt>
                <c:pt idx="12">
                  <c:v>11.3993814670857</c:v>
                </c:pt>
                <c:pt idx="13">
                  <c:v>11.3680892148304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C-42AC-AFA3-37F4C272B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193247"/>
        <c:axId val="1276237135"/>
      </c:scatterChart>
      <c:valAx>
        <c:axId val="12711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237135"/>
        <c:crosses val="autoZero"/>
        <c:crossBetween val="midCat"/>
      </c:valAx>
      <c:valAx>
        <c:axId val="12762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9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536575</xdr:colOff>
      <xdr:row>7</xdr:row>
      <xdr:rowOff>238125</xdr:rowOff>
    </xdr:from>
    <xdr:to>
      <xdr:col>23</xdr:col>
      <xdr:colOff>231775</xdr:colOff>
      <xdr:row>12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1D951-BA93-403C-72CE-2D3EB6594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5</xdr:row>
      <xdr:rowOff>320675</xdr:rowOff>
    </xdr:from>
    <xdr:to>
      <xdr:col>17</xdr:col>
      <xdr:colOff>542925</xdr:colOff>
      <xdr:row>10</xdr:row>
      <xdr:rowOff>301625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76C50-DA72-1975-C943-93798678F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workbookViewId="0">
      <selection activeCell="O5" sqref="O5"/>
    </sheetView>
  </sheetViews>
  <sheetFormatPr defaultRowHeight="14.5" x14ac:dyDescent="0.35"/>
  <cols>
    <col min="15" max="15" width="11.36328125" bestFit="1" customWidth="1"/>
    <col min="17" max="18" width="11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O1" s="1" t="s">
        <v>1</v>
      </c>
      <c r="P1" s="1" t="s">
        <v>2</v>
      </c>
      <c r="Q1" s="1" t="s">
        <v>3</v>
      </c>
      <c r="R1" s="1" t="s">
        <v>25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3.5" x14ac:dyDescent="0.35">
      <c r="A2" s="1" t="s">
        <v>8</v>
      </c>
      <c r="B2" s="1">
        <v>0.226502885502018</v>
      </c>
      <c r="C2" s="1">
        <v>1.1537176017644699</v>
      </c>
      <c r="D2" s="1">
        <v>-1.06784206865541E-3</v>
      </c>
      <c r="E2" s="2">
        <v>-4.5454169464398903E-5</v>
      </c>
      <c r="F2" s="1">
        <v>2.39831550904705</v>
      </c>
      <c r="G2" s="1">
        <v>40.155939859186802</v>
      </c>
      <c r="H2" s="1">
        <v>7.5215001461198105E-4</v>
      </c>
      <c r="I2" s="1">
        <v>0.186133785893391</v>
      </c>
      <c r="N2" t="s">
        <v>26</v>
      </c>
      <c r="O2" s="1">
        <f>AVERAGE(B2:B22)</f>
        <v>0.2118670656031712</v>
      </c>
      <c r="P2" s="1">
        <f t="shared" ref="P2:V2" si="0">AVERAGE(C2:C22)</f>
        <v>1.1826931058875074</v>
      </c>
      <c r="Q2" s="1">
        <f t="shared" si="0"/>
        <v>-5.7439287373094812E-4</v>
      </c>
      <c r="R2" s="1">
        <f t="shared" si="0"/>
        <v>-1.975520230567766E-4</v>
      </c>
      <c r="S2" s="1">
        <f t="shared" si="0"/>
        <v>1.677165342927823</v>
      </c>
      <c r="T2" s="1">
        <f t="shared" si="0"/>
        <v>41.618494825903902</v>
      </c>
      <c r="U2" s="1">
        <f>AVERAGE(H2:H22)</f>
        <v>7.5215001461198126E-4</v>
      </c>
      <c r="V2" s="1">
        <f t="shared" si="0"/>
        <v>0.15516924464518864</v>
      </c>
    </row>
    <row r="3" spans="1:22" ht="43.5" x14ac:dyDescent="0.35">
      <c r="A3" s="1" t="s">
        <v>9</v>
      </c>
      <c r="B3" s="1">
        <v>0.22905609687609699</v>
      </c>
      <c r="C3" s="1">
        <v>1.1561468190786399</v>
      </c>
      <c r="D3" s="1">
        <v>-3.48095013134302E-4</v>
      </c>
      <c r="E3" s="1">
        <v>-2.57261809524017E-4</v>
      </c>
      <c r="F3" s="1">
        <v>1.6482339135483</v>
      </c>
      <c r="G3" s="1">
        <v>41.685413810244597</v>
      </c>
      <c r="H3" s="1">
        <v>7.5215001461198105E-4</v>
      </c>
      <c r="I3" s="1">
        <v>0.18162477284947101</v>
      </c>
      <c r="N3" t="s">
        <v>27</v>
      </c>
      <c r="O3" s="1">
        <f>_xlfn.STDEV.S(B2:B22)</f>
        <v>9.8644059112277041E-3</v>
      </c>
      <c r="P3" s="1">
        <f t="shared" ref="P3:V3" si="1">_xlfn.STDEV.S(C2:C22)</f>
        <v>2.4772316645850192E-2</v>
      </c>
      <c r="Q3" s="1">
        <f>_xlfn.STDEV.S(D2:D22)</f>
        <v>1.6619605541222519E-3</v>
      </c>
      <c r="R3" s="1">
        <f>_xlfn.STDEV.S(E2:E22)</f>
        <v>5.7633781105525432E-4</v>
      </c>
      <c r="S3" s="1">
        <f t="shared" si="1"/>
        <v>0.38485195845553827</v>
      </c>
      <c r="T3" s="1">
        <f t="shared" si="1"/>
        <v>1.5844001196156736</v>
      </c>
      <c r="U3" s="1">
        <f t="shared" si="1"/>
        <v>2.2445117357892157E-19</v>
      </c>
      <c r="V3" s="1">
        <f t="shared" si="1"/>
        <v>2.4734610928797893E-2</v>
      </c>
    </row>
    <row r="4" spans="1:22" ht="43.5" x14ac:dyDescent="0.35">
      <c r="A4" s="1" t="s">
        <v>10</v>
      </c>
      <c r="B4" s="1">
        <v>0.21044075056483699</v>
      </c>
      <c r="C4" s="1">
        <v>1.19775232921367</v>
      </c>
      <c r="D4" s="1">
        <v>2.4954468737411702E-4</v>
      </c>
      <c r="E4" s="1">
        <v>-3.67198784864435E-4</v>
      </c>
      <c r="F4" s="1">
        <v>1.65494157381046</v>
      </c>
      <c r="G4" s="1">
        <v>40.237385922451601</v>
      </c>
      <c r="H4" s="1">
        <v>7.5215001461198105E-4</v>
      </c>
      <c r="I4" s="1">
        <v>0.14007958814500701</v>
      </c>
      <c r="N4" t="s">
        <v>28</v>
      </c>
      <c r="O4" s="1">
        <f>O3/O2</f>
        <v>4.6559411596816182E-2</v>
      </c>
      <c r="P4" s="1">
        <f t="shared" ref="P4:V4" si="2">P3/P2</f>
        <v>2.094568449121105E-2</v>
      </c>
      <c r="Q4" s="1">
        <f t="shared" si="2"/>
        <v>-2.8934212629189622</v>
      </c>
      <c r="R4" s="1">
        <f t="shared" si="2"/>
        <v>-2.917397666383879</v>
      </c>
      <c r="S4" s="1">
        <f t="shared" si="2"/>
        <v>0.22946572326834708</v>
      </c>
      <c r="T4" s="1">
        <f t="shared" si="2"/>
        <v>3.8069616074378594E-2</v>
      </c>
      <c r="U4" s="1">
        <f t="shared" si="2"/>
        <v>2.9841277566777859E-16</v>
      </c>
      <c r="V4" s="1">
        <f t="shared" si="2"/>
        <v>0.15940408155853483</v>
      </c>
    </row>
    <row r="5" spans="1:22" ht="43.5" x14ac:dyDescent="0.35">
      <c r="A5" s="1" t="s">
        <v>11</v>
      </c>
      <c r="B5" s="1">
        <v>0.20831881304194799</v>
      </c>
      <c r="C5" s="1">
        <v>1.21362911107657</v>
      </c>
      <c r="D5" s="1">
        <v>1.7825924797326001E-4</v>
      </c>
      <c r="E5" s="1">
        <v>-3.4358798890134603E-4</v>
      </c>
      <c r="F5" s="1">
        <v>2.14569609386833</v>
      </c>
      <c r="G5" s="1">
        <v>40.220754279618703</v>
      </c>
      <c r="H5" s="1">
        <v>7.5215001461198105E-4</v>
      </c>
      <c r="I5" s="1">
        <v>0.125451961799323</v>
      </c>
      <c r="N5" t="s">
        <v>29</v>
      </c>
      <c r="O5" s="1">
        <f>O4/SQRT(COUNT(B2:B22)) * 100</f>
        <v>1.2021588381579036</v>
      </c>
      <c r="P5" s="1">
        <f t="shared" ref="P5:V5" si="3">P4/COUNT(B2:B22) * 100</f>
        <v>0.13963789660807366</v>
      </c>
      <c r="Q5" s="1">
        <f t="shared" si="3"/>
        <v>-19.289475086126416</v>
      </c>
      <c r="R5" s="1">
        <f t="shared" si="3"/>
        <v>-19.449317775892528</v>
      </c>
      <c r="S5" s="1">
        <f t="shared" si="3"/>
        <v>1.5297714884556473</v>
      </c>
      <c r="T5" s="1">
        <f t="shared" si="3"/>
        <v>0.25379744049585728</v>
      </c>
      <c r="U5" s="1">
        <f t="shared" si="3"/>
        <v>1.9894185044518574E-15</v>
      </c>
      <c r="V5" s="1">
        <f t="shared" si="3"/>
        <v>1.062693877056899</v>
      </c>
    </row>
    <row r="6" spans="1:22" ht="43.5" x14ac:dyDescent="0.35">
      <c r="A6" s="1" t="s">
        <v>12</v>
      </c>
      <c r="B6" s="1">
        <v>0.22165088594058599</v>
      </c>
      <c r="C6" s="1">
        <v>1.15077467460344</v>
      </c>
      <c r="D6" s="1">
        <v>-1.12328710237718E-3</v>
      </c>
      <c r="E6" s="1">
        <v>-1.07933286493342E-4</v>
      </c>
      <c r="F6" s="1">
        <v>1.1465028933433501</v>
      </c>
      <c r="G6" s="1">
        <v>41.059043968409398</v>
      </c>
      <c r="H6" s="1">
        <v>7.5215001461198105E-4</v>
      </c>
      <c r="I6" s="1">
        <v>0.18720905077991201</v>
      </c>
    </row>
    <row r="7" spans="1:22" ht="43.5" x14ac:dyDescent="0.35">
      <c r="A7" s="1" t="s">
        <v>13</v>
      </c>
      <c r="B7" s="1">
        <v>0.21727940824837899</v>
      </c>
      <c r="C7" s="1">
        <v>1.15264016842669</v>
      </c>
      <c r="D7" s="1">
        <v>-1.9845315407260801E-3</v>
      </c>
      <c r="E7" s="1">
        <v>2.34983605996916E-4</v>
      </c>
      <c r="F7" s="1">
        <v>1.6590699072297601</v>
      </c>
      <c r="G7" s="1">
        <v>44.203658800699202</v>
      </c>
      <c r="H7" s="1">
        <v>7.5215001461198105E-4</v>
      </c>
      <c r="I7" s="1">
        <v>0.18438261732189901</v>
      </c>
    </row>
    <row r="8" spans="1:22" ht="43.5" x14ac:dyDescent="0.35">
      <c r="A8" s="1" t="s">
        <v>14</v>
      </c>
      <c r="B8" s="1">
        <v>0.21138090418143601</v>
      </c>
      <c r="C8" s="1">
        <v>1.16283343141997</v>
      </c>
      <c r="D8" s="1">
        <v>-2.7103138381507001E-3</v>
      </c>
      <c r="E8" s="1">
        <v>3.9109915056142499E-4</v>
      </c>
      <c r="F8" s="1">
        <v>1.3967500368300001</v>
      </c>
      <c r="G8" s="1">
        <v>44.271641310507199</v>
      </c>
      <c r="H8" s="1">
        <v>7.5215001461198105E-4</v>
      </c>
      <c r="I8" s="1">
        <v>0.174514580074494</v>
      </c>
    </row>
    <row r="9" spans="1:22" ht="43.5" x14ac:dyDescent="0.35">
      <c r="A9" s="1" t="s">
        <v>15</v>
      </c>
      <c r="B9" s="1">
        <v>0.21168047971309101</v>
      </c>
      <c r="C9" s="1">
        <v>1.1944714871234099</v>
      </c>
      <c r="D9" s="1">
        <v>-8.2504442517342103E-4</v>
      </c>
      <c r="E9" s="2">
        <v>-7.9020715343725199E-5</v>
      </c>
      <c r="F9" s="1">
        <v>2.1122059220896801</v>
      </c>
      <c r="G9" s="1">
        <v>43.187831598563498</v>
      </c>
      <c r="H9" s="1">
        <v>7.5215001461198105E-4</v>
      </c>
      <c r="I9" s="1">
        <v>0.14405883230263</v>
      </c>
    </row>
    <row r="10" spans="1:22" ht="43.5" x14ac:dyDescent="0.35">
      <c r="A10" s="1" t="s">
        <v>16</v>
      </c>
      <c r="B10" s="1">
        <v>0.207005020708038</v>
      </c>
      <c r="C10" s="1">
        <v>1.20207466279647</v>
      </c>
      <c r="D10" s="2">
        <v>-7.9316069780978194E-5</v>
      </c>
      <c r="E10" s="1">
        <v>-2.2320656764856901E-4</v>
      </c>
      <c r="F10" s="1">
        <v>2.1212018493168698</v>
      </c>
      <c r="G10" s="1">
        <v>40.360950944928298</v>
      </c>
      <c r="H10" s="1">
        <v>7.5215001461198105E-4</v>
      </c>
      <c r="I10" s="1">
        <v>0.135891814279122</v>
      </c>
    </row>
    <row r="11" spans="1:22" ht="43.5" x14ac:dyDescent="0.35">
      <c r="A11" s="1" t="s">
        <v>17</v>
      </c>
      <c r="B11" s="1">
        <v>0.208538270537558</v>
      </c>
      <c r="C11" s="1">
        <v>1.19907097042196</v>
      </c>
      <c r="D11" s="1">
        <v>-4.3414612890626202E-4</v>
      </c>
      <c r="E11" s="1">
        <v>-2.0531076309518399E-4</v>
      </c>
      <c r="F11" s="1">
        <v>1.40098808195032</v>
      </c>
      <c r="G11" s="1">
        <v>41.542238924622602</v>
      </c>
      <c r="H11" s="1">
        <v>7.5215001461198105E-4</v>
      </c>
      <c r="I11" s="1">
        <v>0.138463484957455</v>
      </c>
    </row>
    <row r="12" spans="1:22" ht="43.5" x14ac:dyDescent="0.35">
      <c r="A12" s="1" t="s">
        <v>18</v>
      </c>
      <c r="B12" s="1">
        <v>0.224232801729676</v>
      </c>
      <c r="C12" s="1">
        <v>1.1503405613022299</v>
      </c>
      <c r="D12" s="1">
        <v>-7.8759634699101199E-4</v>
      </c>
      <c r="E12" s="2">
        <v>-5.7836879011357402E-5</v>
      </c>
      <c r="F12" s="1">
        <v>1.14899324205474</v>
      </c>
      <c r="G12" s="1">
        <v>44.337896130857402</v>
      </c>
      <c r="H12" s="1">
        <v>7.5215001461198105E-4</v>
      </c>
      <c r="I12" s="1">
        <v>0.18700474871133399</v>
      </c>
    </row>
    <row r="13" spans="1:22" ht="43.5" x14ac:dyDescent="0.35">
      <c r="A13" s="1" t="s">
        <v>19</v>
      </c>
      <c r="B13" s="1">
        <v>0.200587713189394</v>
      </c>
      <c r="C13" s="1">
        <v>1.18939739947301</v>
      </c>
      <c r="D13" s="1">
        <v>4.5070900375967001E-3</v>
      </c>
      <c r="E13" s="1">
        <v>-2.1116157700764699E-3</v>
      </c>
      <c r="F13" s="1">
        <v>1.35526181706353</v>
      </c>
      <c r="G13" s="1">
        <v>41.445278903435103</v>
      </c>
      <c r="H13" s="1">
        <v>7.5215001461198105E-4</v>
      </c>
      <c r="I13" s="1">
        <v>0.146556910720997</v>
      </c>
    </row>
    <row r="14" spans="1:22" ht="43.5" x14ac:dyDescent="0.35">
      <c r="A14" s="1" t="s">
        <v>20</v>
      </c>
      <c r="B14" s="1">
        <v>0.19938440199392901</v>
      </c>
      <c r="C14" s="1">
        <v>1.21232142969973</v>
      </c>
      <c r="D14" s="1">
        <v>-6.9220606344087799E-4</v>
      </c>
      <c r="E14" s="2">
        <v>-8.7061102286225997E-5</v>
      </c>
      <c r="F14" s="1">
        <v>1.9055528658412799</v>
      </c>
      <c r="G14" s="1">
        <v>40.662128104700002</v>
      </c>
      <c r="H14" s="1">
        <v>7.5215001461198105E-4</v>
      </c>
      <c r="I14" s="1">
        <v>0.12498554447033899</v>
      </c>
    </row>
    <row r="15" spans="1:22" ht="43.5" x14ac:dyDescent="0.35">
      <c r="A15" s="1" t="s">
        <v>21</v>
      </c>
      <c r="B15" s="1">
        <v>0.199439368084601</v>
      </c>
      <c r="C15" s="1">
        <v>1.2033842853968</v>
      </c>
      <c r="D15" s="1">
        <v>-9.4024788146154499E-4</v>
      </c>
      <c r="E15" s="2">
        <v>-5.5461892153589499E-5</v>
      </c>
      <c r="F15" s="1">
        <v>1.65919610299664</v>
      </c>
      <c r="G15" s="1">
        <v>40.475400307482801</v>
      </c>
      <c r="H15" s="1">
        <v>7.5215001461198105E-4</v>
      </c>
      <c r="I15" s="1">
        <v>0.13459972781632801</v>
      </c>
    </row>
    <row r="16" spans="1:22" ht="43.5" x14ac:dyDescent="0.35">
      <c r="A16" s="1" t="s">
        <v>22</v>
      </c>
      <c r="B16" s="1">
        <v>0.20250818373598001</v>
      </c>
      <c r="C16" s="1">
        <v>1.2018416565155501</v>
      </c>
      <c r="D16" s="1">
        <v>-2.5581606001105301E-3</v>
      </c>
      <c r="E16" s="1">
        <v>3.5158662645266999E-4</v>
      </c>
      <c r="F16" s="1">
        <v>1.40457033492704</v>
      </c>
      <c r="G16" s="1">
        <v>40.431859522851397</v>
      </c>
      <c r="H16" s="1">
        <v>7.5215001461198105E-4</v>
      </c>
      <c r="I16" s="1">
        <v>0.13658124955612799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0588-D8A3-4BF8-A353-F6B846C50EF5}">
  <dimension ref="A1:S15"/>
  <sheetViews>
    <sheetView workbookViewId="0">
      <selection activeCell="T7" sqref="T7"/>
    </sheetView>
  </sheetViews>
  <sheetFormatPr defaultRowHeight="14.5" x14ac:dyDescent="0.35"/>
  <cols>
    <col min="13" max="13" width="11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19" ht="43.5" x14ac:dyDescent="0.35">
      <c r="A2" s="1" t="s">
        <v>8</v>
      </c>
      <c r="B2" s="1">
        <v>11.2777289821152</v>
      </c>
      <c r="C2" s="1">
        <v>1.1423301179033001</v>
      </c>
      <c r="D2" s="1">
        <v>-4.7267765559131699E-3</v>
      </c>
      <c r="E2" s="1">
        <v>2.0504923191577298</v>
      </c>
      <c r="F2" s="1">
        <v>44.054609189986799</v>
      </c>
      <c r="G2" s="1">
        <v>2.2873004957014E-3</v>
      </c>
      <c r="H2" s="1">
        <v>5.48923287214838E-2</v>
      </c>
      <c r="L2" t="s">
        <v>26</v>
      </c>
      <c r="M2" s="1">
        <f>AVERAGE(B2:B15)</f>
        <v>11.313640895715166</v>
      </c>
      <c r="N2" s="1">
        <f t="shared" ref="N2:S2" si="0">AVERAGE(C2:C15)</f>
        <v>1.1374118641453779</v>
      </c>
      <c r="O2" s="1">
        <f t="shared" si="0"/>
        <v>-4.7547197671604004E-3</v>
      </c>
      <c r="P2" s="1">
        <f t="shared" si="0"/>
        <v>1.9445214002988795</v>
      </c>
      <c r="Q2" s="1">
        <f t="shared" si="0"/>
        <v>42.321621867558015</v>
      </c>
      <c r="R2" s="1">
        <f t="shared" si="0"/>
        <v>2.2873004957013996E-3</v>
      </c>
      <c r="S2" s="1">
        <f t="shared" si="0"/>
        <v>5.5989685625939568E-2</v>
      </c>
    </row>
    <row r="3" spans="1:19" ht="43.5" x14ac:dyDescent="0.35">
      <c r="A3" s="1" t="s">
        <v>9</v>
      </c>
      <c r="B3" s="1">
        <v>11.278006941590499</v>
      </c>
      <c r="C3" s="1">
        <v>1.1405011130568801</v>
      </c>
      <c r="D3" s="1">
        <v>-4.6236245792629603E-3</v>
      </c>
      <c r="E3" s="1">
        <v>2.0517690180776298</v>
      </c>
      <c r="F3" s="1">
        <v>42.550780215527702</v>
      </c>
      <c r="G3" s="1">
        <v>2.2873004957014E-3</v>
      </c>
      <c r="H3" s="1">
        <v>5.4401476873440303E-2</v>
      </c>
      <c r="L3" t="s">
        <v>27</v>
      </c>
      <c r="M3" s="1">
        <f>_xlfn.STDEV.S(B2:B15)</f>
        <v>6.4822209735592856E-2</v>
      </c>
      <c r="N3" s="1">
        <f t="shared" ref="N3:S3" si="1">_xlfn.STDEV.S(C2:C15)</f>
        <v>3.5101817668493807E-3</v>
      </c>
      <c r="O3" s="1">
        <f t="shared" si="1"/>
        <v>2.3854743494440791E-4</v>
      </c>
      <c r="P3" s="1">
        <f t="shared" si="1"/>
        <v>0.25755182368565854</v>
      </c>
      <c r="Q3" s="1">
        <f t="shared" si="1"/>
        <v>1.7047413334900201</v>
      </c>
      <c r="R3" s="1">
        <f t="shared" si="1"/>
        <v>4.5005190690732244E-19</v>
      </c>
      <c r="S3" s="1">
        <f t="shared" si="1"/>
        <v>8.0437185204481243E-4</v>
      </c>
    </row>
    <row r="4" spans="1:19" ht="43.5" x14ac:dyDescent="0.35">
      <c r="A4" s="1" t="s">
        <v>10</v>
      </c>
      <c r="B4" s="1">
        <v>11.3818951930638</v>
      </c>
      <c r="C4" s="1">
        <v>1.1413430904312001</v>
      </c>
      <c r="D4" s="1">
        <v>-4.7585006944029697E-3</v>
      </c>
      <c r="E4" s="1">
        <v>2.10091213890309</v>
      </c>
      <c r="F4" s="1">
        <v>40.231640000860097</v>
      </c>
      <c r="G4" s="1">
        <v>2.2873004957014E-3</v>
      </c>
      <c r="H4" s="1">
        <v>5.5415240338359199E-2</v>
      </c>
      <c r="L4" t="s">
        <v>28</v>
      </c>
      <c r="M4" s="1">
        <f>M3/M2</f>
        <v>5.7295622455316823E-3</v>
      </c>
      <c r="N4" s="1">
        <f t="shared" ref="N4:S4" si="2">N3/N2</f>
        <v>3.0861131991856278E-3</v>
      </c>
      <c r="O4" s="1">
        <f t="shared" si="2"/>
        <v>-5.0170661285233328E-2</v>
      </c>
      <c r="P4" s="1">
        <f t="shared" si="2"/>
        <v>0.13244998159756532</v>
      </c>
      <c r="Q4" s="1">
        <f t="shared" si="2"/>
        <v>4.0280623904841502E-2</v>
      </c>
      <c r="R4" s="1">
        <f t="shared" si="2"/>
        <v>1.9676116354327735E-16</v>
      </c>
      <c r="S4" s="1">
        <f t="shared" si="2"/>
        <v>1.4366429156590111E-2</v>
      </c>
    </row>
    <row r="5" spans="1:19" ht="43.5" x14ac:dyDescent="0.35">
      <c r="A5" s="1" t="s">
        <v>11</v>
      </c>
      <c r="B5" s="1">
        <v>11.2548694993267</v>
      </c>
      <c r="C5" s="1">
        <v>1.14056946388709</v>
      </c>
      <c r="D5" s="1">
        <v>-4.8553355551728501E-3</v>
      </c>
      <c r="E5" s="1">
        <v>2.1011308559346502</v>
      </c>
      <c r="F5" s="1">
        <v>44.220733332760403</v>
      </c>
      <c r="G5" s="1">
        <v>2.2873004957014E-3</v>
      </c>
      <c r="H5" s="1">
        <v>5.5518361675850399E-2</v>
      </c>
      <c r="L5" t="s">
        <v>29</v>
      </c>
      <c r="M5" s="1">
        <f>M4/SQRT(COUNT(B2:B15)) * 100</f>
        <v>0.15312899213553366</v>
      </c>
      <c r="N5" s="1">
        <f t="shared" ref="N5:S5" si="3">N4/SQRT(COUNT(C2:C15)) * 100</f>
        <v>8.2479844629667606E-2</v>
      </c>
      <c r="O5" s="1">
        <f t="shared" si="3"/>
        <v>-1.3408673242659048</v>
      </c>
      <c r="P5" s="1">
        <f t="shared" si="3"/>
        <v>3.5398746573043067</v>
      </c>
      <c r="Q5" s="1">
        <f t="shared" si="3"/>
        <v>1.0765449569815229</v>
      </c>
      <c r="R5" s="1">
        <f t="shared" si="3"/>
        <v>5.2586632928709941E-15</v>
      </c>
      <c r="S5" s="1">
        <f t="shared" si="3"/>
        <v>0.38395896982371364</v>
      </c>
    </row>
    <row r="6" spans="1:19" ht="43.5" x14ac:dyDescent="0.35">
      <c r="A6" s="1" t="s">
        <v>12</v>
      </c>
      <c r="B6" s="1">
        <v>11.2682398497828</v>
      </c>
      <c r="C6" s="1">
        <v>1.1388412868081199</v>
      </c>
      <c r="D6" s="1">
        <v>-4.6768995203244398E-3</v>
      </c>
      <c r="E6" s="1">
        <v>2.0511627062808002</v>
      </c>
      <c r="F6" s="1">
        <v>42.820065018635503</v>
      </c>
      <c r="G6" s="1">
        <v>2.2873004957014E-3</v>
      </c>
      <c r="H6" s="1">
        <v>5.5686511685697597E-2</v>
      </c>
    </row>
    <row r="7" spans="1:19" ht="43.5" x14ac:dyDescent="0.35">
      <c r="A7" s="1" t="s">
        <v>13</v>
      </c>
      <c r="B7" s="1">
        <v>11.3560069963006</v>
      </c>
      <c r="C7" s="1">
        <v>1.13549181003276</v>
      </c>
      <c r="D7" s="1">
        <v>-4.7188238243677802E-3</v>
      </c>
      <c r="E7" s="1">
        <v>1.8519165095726999</v>
      </c>
      <c r="F7" s="1">
        <v>44.301173999773098</v>
      </c>
      <c r="G7" s="1">
        <v>2.2873004957014E-3</v>
      </c>
      <c r="H7" s="1">
        <v>5.5789596316125303E-2</v>
      </c>
    </row>
    <row r="8" spans="1:19" ht="43.5" x14ac:dyDescent="0.35">
      <c r="A8" s="1" t="s">
        <v>14</v>
      </c>
      <c r="B8" s="1">
        <v>11.1790158326138</v>
      </c>
      <c r="C8" s="1">
        <v>1.1364522812992499</v>
      </c>
      <c r="D8" s="1">
        <v>-4.1593307298644399E-3</v>
      </c>
      <c r="E8" s="1">
        <v>2.0510305473356301</v>
      </c>
      <c r="F8" s="1">
        <v>44.037049989979202</v>
      </c>
      <c r="G8" s="1">
        <v>2.2873004957014E-3</v>
      </c>
      <c r="H8" s="1">
        <v>5.5427840655649797E-2</v>
      </c>
    </row>
    <row r="9" spans="1:19" ht="43.5" x14ac:dyDescent="0.35">
      <c r="A9" s="1" t="s">
        <v>15</v>
      </c>
      <c r="B9" s="1">
        <v>11.2611324831582</v>
      </c>
      <c r="C9" s="1">
        <v>1.13759485456958</v>
      </c>
      <c r="D9" s="1">
        <v>-4.8114901268439198E-3</v>
      </c>
      <c r="E9" s="1">
        <v>2.05304728547438</v>
      </c>
      <c r="F9" s="1">
        <v>44.326054664711499</v>
      </c>
      <c r="G9" s="1">
        <v>2.2873004957014E-3</v>
      </c>
      <c r="H9" s="1">
        <v>5.65318626277347E-2</v>
      </c>
    </row>
    <row r="10" spans="1:19" ht="43.5" x14ac:dyDescent="0.35">
      <c r="A10" s="1" t="s">
        <v>16</v>
      </c>
      <c r="B10" s="1">
        <v>11.2809006876483</v>
      </c>
      <c r="C10" s="1">
        <v>1.1377517735298599</v>
      </c>
      <c r="D10" s="1">
        <v>-4.7377153644025402E-3</v>
      </c>
      <c r="E10" s="1">
        <v>2.0527159043767602</v>
      </c>
      <c r="F10" s="1">
        <v>42.825099386556403</v>
      </c>
      <c r="G10" s="1">
        <v>2.2873004957014E-3</v>
      </c>
      <c r="H10" s="1">
        <v>5.6175631746757E-2</v>
      </c>
    </row>
    <row r="11" spans="1:19" ht="43.5" x14ac:dyDescent="0.35">
      <c r="A11" s="1" t="s">
        <v>17</v>
      </c>
      <c r="B11" s="1">
        <v>11.360011415584401</v>
      </c>
      <c r="C11" s="1">
        <v>1.1388216063402099</v>
      </c>
      <c r="D11" s="1">
        <v>-4.9886406871600397E-3</v>
      </c>
      <c r="E11" s="1">
        <v>2.0520368385670502</v>
      </c>
      <c r="F11" s="1">
        <v>41.524271673543602</v>
      </c>
      <c r="G11" s="1">
        <v>2.2873004957014E-3</v>
      </c>
      <c r="H11" s="1">
        <v>5.6742525250880402E-2</v>
      </c>
    </row>
    <row r="12" spans="1:19" ht="43.5" x14ac:dyDescent="0.35">
      <c r="A12" s="1" t="s">
        <v>18</v>
      </c>
      <c r="B12" s="1">
        <v>11.3832786068325</v>
      </c>
      <c r="C12" s="1">
        <v>1.13668193546251</v>
      </c>
      <c r="D12" s="1">
        <v>-4.6196059866194699E-3</v>
      </c>
      <c r="E12" s="1">
        <v>2.0514644351608098</v>
      </c>
      <c r="F12" s="1">
        <v>40.340790006679804</v>
      </c>
      <c r="G12" s="1">
        <v>2.2873004957014E-3</v>
      </c>
      <c r="H12" s="1">
        <v>5.6988034293772902E-2</v>
      </c>
    </row>
    <row r="13" spans="1:19" ht="43.5" x14ac:dyDescent="0.35">
      <c r="A13" s="1" t="s">
        <v>20</v>
      </c>
      <c r="B13" s="1">
        <v>11.342415370079401</v>
      </c>
      <c r="C13" s="1">
        <v>1.1311879038941901</v>
      </c>
      <c r="D13" s="1">
        <v>-4.8795578703904703E-3</v>
      </c>
      <c r="E13" s="1">
        <v>1.3518397765494199</v>
      </c>
      <c r="F13" s="1">
        <v>40.415130000089398</v>
      </c>
      <c r="G13" s="1">
        <v>2.2873004957014E-3</v>
      </c>
      <c r="H13" s="1">
        <v>5.6730635894013302E-2</v>
      </c>
    </row>
    <row r="14" spans="1:19" ht="43.5" x14ac:dyDescent="0.35">
      <c r="A14" s="1" t="s">
        <v>21</v>
      </c>
      <c r="B14" s="1">
        <v>11.3993814670857</v>
      </c>
      <c r="C14" s="1">
        <v>1.1302915367411299</v>
      </c>
      <c r="D14" s="1">
        <v>-4.7474123942398E-3</v>
      </c>
      <c r="E14" s="1">
        <v>1.35272852635217</v>
      </c>
      <c r="F14" s="1">
        <v>40.432462000000001</v>
      </c>
      <c r="G14" s="1">
        <v>2.2873004957014E-3</v>
      </c>
      <c r="H14" s="1">
        <v>5.6806494834463601E-2</v>
      </c>
    </row>
    <row r="15" spans="1:19" ht="43.5" x14ac:dyDescent="0.35">
      <c r="A15" s="1" t="s">
        <v>22</v>
      </c>
      <c r="B15" s="1">
        <v>11.3680892148304</v>
      </c>
      <c r="C15" s="1">
        <v>1.1359073240792099</v>
      </c>
      <c r="D15" s="1">
        <v>-5.2623628512807503E-3</v>
      </c>
      <c r="E15" s="1">
        <v>2.0510527424414899</v>
      </c>
      <c r="F15" s="1">
        <v>40.4228466667088</v>
      </c>
      <c r="G15" s="1">
        <v>2.2873004957014E-3</v>
      </c>
      <c r="H15" s="1">
        <v>5.6749057848925699E-2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2B04-BD61-4BD2-AF27-A760C532D88A}">
  <dimension ref="A1:Q15"/>
  <sheetViews>
    <sheetView tabSelected="1" workbookViewId="0">
      <selection activeCell="G9" sqref="G9"/>
    </sheetView>
  </sheetViews>
  <sheetFormatPr defaultRowHeight="14.5" x14ac:dyDescent="0.35"/>
  <cols>
    <col min="10" max="10" width="11.36328125" bestFit="1" customWidth="1"/>
  </cols>
  <sheetData>
    <row r="1" spans="1:17" ht="29" x14ac:dyDescent="0.35">
      <c r="A1" s="1" t="s">
        <v>0</v>
      </c>
      <c r="B1" s="1" t="s">
        <v>23</v>
      </c>
      <c r="C1" s="1" t="s">
        <v>0</v>
      </c>
      <c r="D1" s="1" t="s">
        <v>24</v>
      </c>
      <c r="J1" s="1"/>
      <c r="K1" s="1"/>
      <c r="L1" s="1"/>
      <c r="M1" s="1"/>
      <c r="N1" s="1"/>
      <c r="O1" s="1"/>
      <c r="P1" s="1"/>
      <c r="Q1" s="1"/>
    </row>
    <row r="2" spans="1:17" ht="43.5" x14ac:dyDescent="0.35">
      <c r="A2" s="1" t="s">
        <v>8</v>
      </c>
      <c r="B2" s="1">
        <v>0.226502885502018</v>
      </c>
      <c r="C2" s="1" t="s">
        <v>8</v>
      </c>
      <c r="D2" s="1">
        <v>11.2777289821152</v>
      </c>
      <c r="J2" s="1"/>
      <c r="K2" s="1"/>
      <c r="L2" s="1"/>
      <c r="M2" s="1"/>
      <c r="N2" s="1"/>
      <c r="O2" s="1"/>
      <c r="P2" s="1"/>
      <c r="Q2" s="1"/>
    </row>
    <row r="3" spans="1:17" ht="43.5" x14ac:dyDescent="0.35">
      <c r="A3" s="1" t="s">
        <v>9</v>
      </c>
      <c r="B3" s="1">
        <v>0.22905609687609699</v>
      </c>
      <c r="C3" s="1" t="s">
        <v>9</v>
      </c>
      <c r="D3" s="1">
        <v>11.278006941590499</v>
      </c>
      <c r="J3" s="1"/>
      <c r="K3" s="1"/>
      <c r="L3" s="1"/>
      <c r="M3" s="1"/>
      <c r="N3" s="1"/>
      <c r="O3" s="1"/>
      <c r="P3" s="1"/>
      <c r="Q3" s="1"/>
    </row>
    <row r="4" spans="1:17" ht="43.5" x14ac:dyDescent="0.35">
      <c r="A4" s="1" t="s">
        <v>10</v>
      </c>
      <c r="B4" s="1">
        <v>0.21044075056483699</v>
      </c>
      <c r="C4" s="1" t="s">
        <v>10</v>
      </c>
      <c r="D4" s="1">
        <v>11.3818951930638</v>
      </c>
      <c r="J4" s="1"/>
      <c r="K4" s="1"/>
      <c r="L4" s="1"/>
      <c r="M4" s="1"/>
      <c r="N4" s="1"/>
      <c r="O4" s="1"/>
      <c r="P4" s="1"/>
      <c r="Q4" s="1"/>
    </row>
    <row r="5" spans="1:17" ht="43.5" x14ac:dyDescent="0.35">
      <c r="A5" s="1" t="s">
        <v>11</v>
      </c>
      <c r="B5" s="1">
        <v>0.20831881304194799</v>
      </c>
      <c r="C5" s="1" t="s">
        <v>11</v>
      </c>
      <c r="D5" s="1">
        <v>11.2548694993267</v>
      </c>
      <c r="J5" s="1"/>
      <c r="K5" s="1"/>
      <c r="L5" s="1"/>
      <c r="M5" s="1"/>
      <c r="N5" s="1"/>
      <c r="O5" s="1"/>
      <c r="P5" s="1"/>
      <c r="Q5" s="1"/>
    </row>
    <row r="6" spans="1:17" ht="43.5" x14ac:dyDescent="0.35">
      <c r="A6" s="1" t="s">
        <v>12</v>
      </c>
      <c r="B6" s="1">
        <v>0.22165088594058599</v>
      </c>
      <c r="C6" s="1" t="s">
        <v>12</v>
      </c>
      <c r="D6" s="1">
        <v>11.2682398497828</v>
      </c>
    </row>
    <row r="7" spans="1:17" ht="43.5" x14ac:dyDescent="0.35">
      <c r="A7" s="1" t="s">
        <v>13</v>
      </c>
      <c r="B7" s="1">
        <v>0.21727940824837899</v>
      </c>
      <c r="C7" s="1" t="s">
        <v>13</v>
      </c>
      <c r="D7" s="1">
        <v>11.3560069963006</v>
      </c>
    </row>
    <row r="8" spans="1:17" ht="43.5" x14ac:dyDescent="0.35">
      <c r="A8" s="1" t="s">
        <v>14</v>
      </c>
      <c r="B8" s="1">
        <v>0.21138090418143601</v>
      </c>
      <c r="C8" s="1" t="s">
        <v>14</v>
      </c>
      <c r="D8" s="1">
        <v>11.1790158326138</v>
      </c>
    </row>
    <row r="9" spans="1:17" ht="43.5" x14ac:dyDescent="0.35">
      <c r="A9" s="1" t="s">
        <v>15</v>
      </c>
      <c r="B9" s="1">
        <v>0.21168047971309101</v>
      </c>
      <c r="C9" s="1" t="s">
        <v>15</v>
      </c>
      <c r="D9" s="1">
        <v>11.2611324831582</v>
      </c>
    </row>
    <row r="10" spans="1:17" ht="43.5" x14ac:dyDescent="0.35">
      <c r="A10" s="1" t="s">
        <v>16</v>
      </c>
      <c r="B10" s="1">
        <v>0.207005020708038</v>
      </c>
      <c r="C10" s="1" t="s">
        <v>16</v>
      </c>
      <c r="D10" s="1">
        <v>11.2809006876483</v>
      </c>
    </row>
    <row r="11" spans="1:17" ht="43.5" x14ac:dyDescent="0.35">
      <c r="A11" s="1" t="s">
        <v>17</v>
      </c>
      <c r="B11" s="1">
        <v>0.208538270537558</v>
      </c>
      <c r="C11" s="1" t="s">
        <v>17</v>
      </c>
      <c r="D11" s="1">
        <v>11.360011415584401</v>
      </c>
    </row>
    <row r="12" spans="1:17" ht="43.5" x14ac:dyDescent="0.35">
      <c r="A12" s="1" t="s">
        <v>18</v>
      </c>
      <c r="B12" s="1">
        <v>0.224232801729676</v>
      </c>
      <c r="C12" s="1" t="s">
        <v>18</v>
      </c>
      <c r="D12" s="1">
        <v>11.3832786068325</v>
      </c>
    </row>
    <row r="13" spans="1:17" ht="43.5" x14ac:dyDescent="0.35">
      <c r="A13" s="1" t="s">
        <v>20</v>
      </c>
      <c r="B13" s="1">
        <v>0.19938440199392901</v>
      </c>
      <c r="C13" s="1" t="s">
        <v>20</v>
      </c>
      <c r="D13" s="1">
        <v>11.342415370079401</v>
      </c>
    </row>
    <row r="14" spans="1:17" ht="43.5" x14ac:dyDescent="0.35">
      <c r="A14" s="1" t="s">
        <v>21</v>
      </c>
      <c r="B14" s="1">
        <v>0.199439368084601</v>
      </c>
      <c r="C14" s="1" t="s">
        <v>21</v>
      </c>
      <c r="D14" s="1">
        <v>11.3993814670857</v>
      </c>
    </row>
    <row r="15" spans="1:17" ht="43.5" x14ac:dyDescent="0.35">
      <c r="A15" s="1" t="s">
        <v>22</v>
      </c>
      <c r="B15" s="1">
        <v>0.20250818373598001</v>
      </c>
      <c r="C15" s="1" t="s">
        <v>22</v>
      </c>
      <c r="D15" s="1">
        <v>11.3680892148304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2015-06-05T18:17:20Z</dcterms:created>
  <dcterms:modified xsi:type="dcterms:W3CDTF">2026-04-28T14:12:54Z</dcterms:modified>
</cp:coreProperties>
</file>