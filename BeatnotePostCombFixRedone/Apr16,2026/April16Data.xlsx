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CombFix\Apr16,2026\"/>
    </mc:Choice>
  </mc:AlternateContent>
  <xr:revisionPtr revIDLastSave="0" documentId="13_ncr:1_{66E3A22B-E856-45F0-AF33-1FD1FFF0B4B2}" xr6:coauthVersionLast="47" xr6:coauthVersionMax="47" xr10:uidLastSave="{00000000-0000-0000-0000-000000000000}"/>
  <bookViews>
    <workbookView xWindow="-110" yWindow="-110" windowWidth="38620" windowHeight="21100" activeTab="2" xr2:uid="{00000000-000D-0000-FFFF-FFFF00000000}"/>
  </bookViews>
  <sheets>
    <sheet name="456" sheetId="1" r:id="rId1"/>
    <sheet name="894" sheetId="2" r:id="rId2"/>
    <sheet name="abs coe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P2" i="2"/>
  <c r="O2" i="2"/>
  <c r="T2" i="2"/>
  <c r="R2" i="2"/>
  <c r="S2" i="2"/>
  <c r="U2" i="2"/>
  <c r="P3" i="2"/>
  <c r="Q3" i="2"/>
  <c r="R3" i="2"/>
  <c r="S3" i="2"/>
  <c r="T3" i="2"/>
  <c r="U3" i="2"/>
  <c r="P4" i="2"/>
  <c r="P5" i="2" s="1"/>
  <c r="Q4" i="2"/>
  <c r="R4" i="2"/>
  <c r="S4" i="2"/>
  <c r="S5" i="2" s="1"/>
  <c r="T4" i="2"/>
  <c r="T5" i="2" s="1"/>
  <c r="U4" i="2"/>
  <c r="U5" i="2" s="1"/>
  <c r="Q5" i="2"/>
  <c r="R5" i="2"/>
  <c r="O3" i="2"/>
  <c r="P3" i="1"/>
  <c r="P4" i="1" s="1"/>
  <c r="P5" i="1" s="1"/>
  <c r="Q3" i="1"/>
  <c r="R3" i="1"/>
  <c r="S3" i="1"/>
  <c r="T3" i="1"/>
  <c r="U3" i="1"/>
  <c r="V3" i="1"/>
  <c r="O3" i="1"/>
  <c r="U2" i="1"/>
  <c r="U4" i="1" s="1"/>
  <c r="U5" i="1" s="1"/>
  <c r="P2" i="1"/>
  <c r="Q2" i="1"/>
  <c r="R2" i="1"/>
  <c r="S2" i="1"/>
  <c r="T2" i="1"/>
  <c r="V2" i="1"/>
  <c r="O2" i="1"/>
  <c r="S4" i="1"/>
  <c r="S5" i="1" s="1"/>
  <c r="R4" i="1"/>
  <c r="R5" i="1" s="1"/>
  <c r="Q4" i="1"/>
  <c r="Q5" i="1" s="1"/>
  <c r="O4" i="2" l="1"/>
  <c r="O5" i="2" s="1"/>
  <c r="V4" i="1"/>
  <c r="V5" i="1" s="1"/>
  <c r="T4" i="1"/>
  <c r="T5" i="1" s="1"/>
  <c r="O4" i="1"/>
  <c r="O5" i="1" s="1"/>
</calcChain>
</file>

<file path=xl/sharedStrings.xml><?xml version="1.0" encoding="utf-8"?>
<sst xmlns="http://schemas.openxmlformats.org/spreadsheetml/2006/main" count="128" uniqueCount="34">
  <si>
    <t>Date</t>
  </si>
  <si>
    <t>Alpha</t>
  </si>
  <si>
    <t>P0</t>
  </si>
  <si>
    <t>h1</t>
  </si>
  <si>
    <t>mv</t>
  </si>
  <si>
    <t>T</t>
  </si>
  <si>
    <t>gamma</t>
  </si>
  <si>
    <t>offset</t>
  </si>
  <si>
    <t>Apr16,2026+2-54-47PM</t>
  </si>
  <si>
    <t>Apr16,2026+3-04-38PM</t>
  </si>
  <si>
    <t>Apr16,2026+3-12-18PM</t>
  </si>
  <si>
    <t>Apr16,2026+3-19-47PM</t>
  </si>
  <si>
    <t>Apr16,2026+3-26-56PM</t>
  </si>
  <si>
    <t>Apr16,2026+3-34-14PM</t>
  </si>
  <si>
    <t>Apr16,2026+3-41-27PM</t>
  </si>
  <si>
    <t>Apr16,2026+3-50-18PM</t>
  </si>
  <si>
    <t>Apr16,2026+4-07-43PM</t>
  </si>
  <si>
    <t>Apr16,2026+4-15-07PM</t>
  </si>
  <si>
    <t>Apr16,2026+4-24-56PM</t>
  </si>
  <si>
    <t>Apr16,2026+4-32-45PM</t>
  </si>
  <si>
    <t>Apr16,2026+4-40-22PM</t>
  </si>
  <si>
    <t>Apr16,2026+4-48-15PM</t>
  </si>
  <si>
    <t>Apr16,2026+6-36-05PM</t>
  </si>
  <si>
    <t>Apr16,2026+6-58-24PM</t>
  </si>
  <si>
    <t>Apr16,2026+7-05-39PM</t>
  </si>
  <si>
    <t>Apr16,2026+7-13-23PM</t>
  </si>
  <si>
    <t>Apr16,2026+7-23-11PM</t>
  </si>
  <si>
    <t>Apr16,2026+7-31-13PM</t>
  </si>
  <si>
    <t>Apr16,2026+7-38-18PM</t>
  </si>
  <si>
    <t>h2</t>
  </si>
  <si>
    <t>mean</t>
  </si>
  <si>
    <t>std</t>
  </si>
  <si>
    <t>std/mean</t>
  </si>
  <si>
    <t>100*std/mean/sqrt(n)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</si>
</sst>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'456'!$B$2:$B$23</c:f>
              <c:numCache>
                <c:formatCode>General</c:formatCode>
                <c:ptCount val="22"/>
                <c:pt idx="0">
                  <c:v>0.21555583151480401</c:v>
                </c:pt>
                <c:pt idx="1">
                  <c:v>0.20952097494967001</c:v>
                </c:pt>
                <c:pt idx="2">
                  <c:v>0.20662316739085199</c:v>
                </c:pt>
                <c:pt idx="3">
                  <c:v>0.20770262378267801</c:v>
                </c:pt>
                <c:pt idx="4">
                  <c:v>0.209595431054375</c:v>
                </c:pt>
                <c:pt idx="5">
                  <c:v>0.20538693458861701</c:v>
                </c:pt>
                <c:pt idx="6">
                  <c:v>0.20579809973947</c:v>
                </c:pt>
                <c:pt idx="7">
                  <c:v>0.210070324599267</c:v>
                </c:pt>
                <c:pt idx="8">
                  <c:v>0.21275673115754801</c:v>
                </c:pt>
                <c:pt idx="9">
                  <c:v>0.21652324403034801</c:v>
                </c:pt>
                <c:pt idx="10">
                  <c:v>0.21641690962021001</c:v>
                </c:pt>
                <c:pt idx="11">
                  <c:v>0.21275343465184901</c:v>
                </c:pt>
                <c:pt idx="12">
                  <c:v>0.208884934485742</c:v>
                </c:pt>
                <c:pt idx="13">
                  <c:v>0.21116438224453701</c:v>
                </c:pt>
                <c:pt idx="14">
                  <c:v>0.21223952305306101</c:v>
                </c:pt>
                <c:pt idx="15">
                  <c:v>0.21832353710526101</c:v>
                </c:pt>
                <c:pt idx="16">
                  <c:v>0.20530572750096901</c:v>
                </c:pt>
                <c:pt idx="17">
                  <c:v>0.21753519420846301</c:v>
                </c:pt>
                <c:pt idx="18">
                  <c:v>0.21592303126088699</c:v>
                </c:pt>
                <c:pt idx="19">
                  <c:v>0.211655607306068</c:v>
                </c:pt>
                <c:pt idx="20">
                  <c:v>0.21236601376132699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C8-431E-8F1C-25D49AA6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880751"/>
        <c:axId val="1859882191"/>
      </c:scatterChart>
      <c:valAx>
        <c:axId val="185988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82191"/>
        <c:crosses val="autoZero"/>
        <c:crossBetween val="midCat"/>
      </c:valAx>
      <c:valAx>
        <c:axId val="185988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8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'894'!$B$1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'894'!$B$2:$B$23</c:f>
              <c:numCache>
                <c:formatCode>General</c:formatCode>
                <c:ptCount val="22"/>
                <c:pt idx="0">
                  <c:v>11.1770115437445</c:v>
                </c:pt>
                <c:pt idx="1">
                  <c:v>11.329302054832899</c:v>
                </c:pt>
                <c:pt idx="2">
                  <c:v>11.3600930964895</c:v>
                </c:pt>
                <c:pt idx="3">
                  <c:v>11.3608067417883</c:v>
                </c:pt>
                <c:pt idx="4">
                  <c:v>11.2077787773182</c:v>
                </c:pt>
                <c:pt idx="5">
                  <c:v>11.3591768457862</c:v>
                </c:pt>
                <c:pt idx="6">
                  <c:v>11.3151694371932</c:v>
                </c:pt>
                <c:pt idx="7">
                  <c:v>11.3416526476838</c:v>
                </c:pt>
                <c:pt idx="8">
                  <c:v>11.2733188316857</c:v>
                </c:pt>
                <c:pt idx="9">
                  <c:v>11.3890419779139</c:v>
                </c:pt>
                <c:pt idx="10">
                  <c:v>11.293114778862501</c:v>
                </c:pt>
                <c:pt idx="11">
                  <c:v>11.283064557196401</c:v>
                </c:pt>
                <c:pt idx="12">
                  <c:v>11.465869859655999</c:v>
                </c:pt>
                <c:pt idx="13">
                  <c:v>11.213397155062999</c:v>
                </c:pt>
                <c:pt idx="14">
                  <c:v>11.371341530264001</c:v>
                </c:pt>
                <c:pt idx="15">
                  <c:v>11.2500539704759</c:v>
                </c:pt>
                <c:pt idx="16">
                  <c:v>11.260353899465199</c:v>
                </c:pt>
                <c:pt idx="17">
                  <c:v>11.259822883760901</c:v>
                </c:pt>
                <c:pt idx="18">
                  <c:v>11.1846809114396</c:v>
                </c:pt>
                <c:pt idx="19">
                  <c:v>11.335767756404501</c:v>
                </c:pt>
                <c:pt idx="20">
                  <c:v>11.2169543924379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5-424C-978D-AF315553F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337951"/>
        <c:axId val="1557339391"/>
      </c:scatterChart>
      <c:valAx>
        <c:axId val="155733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39391"/>
        <c:crosses val="autoZero"/>
        <c:crossBetween val="midCat"/>
      </c:valAx>
      <c:valAx>
        <c:axId val="155733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3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327025</xdr:colOff>
      <xdr:row>7</xdr:row>
      <xdr:rowOff>320675</xdr:rowOff>
    </xdr:from>
    <xdr:to>
      <xdr:col>24</xdr:col>
      <xdr:colOff>22225</xdr:colOff>
      <xdr:row>12</xdr:row>
      <xdr:rowOff>301625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D3D36-7D47-2FAB-2A0C-CD1F28800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314325</xdr:colOff>
      <xdr:row>6</xdr:row>
      <xdr:rowOff>193675</xdr:rowOff>
    </xdr:from>
    <xdr:to>
      <xdr:col>23</xdr:col>
      <xdr:colOff>9525</xdr:colOff>
      <xdr:row>11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738E1-9C0C-6650-AE32-6F446F9BF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workbookViewId="0">
      <selection sqref="A1:B1048576"/>
    </sheetView>
  </sheetViews>
  <sheetFormatPr defaultRowHeight="14.5" x14ac:dyDescent="0.35"/>
  <cols>
    <col min="15" max="15" width="11.36328125" bestFit="1" customWidth="1"/>
    <col min="21" max="21" width="10.36328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4</v>
      </c>
      <c r="G1" s="1" t="s">
        <v>5</v>
      </c>
      <c r="H1" s="1" t="s">
        <v>6</v>
      </c>
      <c r="I1" s="1" t="s">
        <v>7</v>
      </c>
      <c r="O1" s="1" t="s">
        <v>1</v>
      </c>
      <c r="P1" s="1" t="s">
        <v>2</v>
      </c>
      <c r="Q1" s="1" t="s">
        <v>3</v>
      </c>
      <c r="R1" s="1" t="s">
        <v>29</v>
      </c>
      <c r="S1" s="1" t="s">
        <v>4</v>
      </c>
      <c r="T1" s="1" t="s">
        <v>5</v>
      </c>
      <c r="U1" s="1" t="s">
        <v>6</v>
      </c>
      <c r="V1" s="1" t="s">
        <v>7</v>
      </c>
    </row>
    <row r="2" spans="1:22" ht="43.5" x14ac:dyDescent="0.35">
      <c r="A2" s="1" t="s">
        <v>8</v>
      </c>
      <c r="B2" s="1">
        <v>0.21555583151480401</v>
      </c>
      <c r="C2" s="1">
        <v>1.31070920054014</v>
      </c>
      <c r="D2" s="2">
        <v>-7.6368076966210801E-5</v>
      </c>
      <c r="E2" s="1">
        <v>-2.29147143525007E-4</v>
      </c>
      <c r="F2" s="1">
        <v>2.3941571434836</v>
      </c>
      <c r="G2" s="1">
        <v>44.379100031016897</v>
      </c>
      <c r="H2" s="1">
        <v>7.5215001461198105E-4</v>
      </c>
      <c r="I2" s="1">
        <v>2.9175036809121101E-2</v>
      </c>
      <c r="N2" t="s">
        <v>30</v>
      </c>
      <c r="O2" s="1">
        <f>AVERAGE(B2:B22)</f>
        <v>0.21152865038123822</v>
      </c>
      <c r="P2" s="1">
        <f t="shared" ref="P2:V2" si="0">AVERAGE(C2:C22)</f>
        <v>1.314337010102604</v>
      </c>
      <c r="Q2" s="1">
        <f t="shared" si="0"/>
        <v>1.4502795583987976E-4</v>
      </c>
      <c r="R2" s="1">
        <f t="shared" si="0"/>
        <v>-2.6301165906466174E-4</v>
      </c>
      <c r="S2" s="1">
        <f t="shared" si="0"/>
        <v>2.4556823244580932</v>
      </c>
      <c r="T2" s="1">
        <f t="shared" si="0"/>
        <v>42.277351195622842</v>
      </c>
      <c r="U2" s="1">
        <f>AVERAGE(H2:H22)</f>
        <v>7.5215001461198126E-4</v>
      </c>
      <c r="V2" s="1">
        <f t="shared" si="0"/>
        <v>2.5423104364954017E-2</v>
      </c>
    </row>
    <row r="3" spans="1:22" ht="43.5" x14ac:dyDescent="0.35">
      <c r="A3" s="1" t="s">
        <v>9</v>
      </c>
      <c r="B3" s="1">
        <v>0.20952097494967001</v>
      </c>
      <c r="C3" s="1">
        <v>1.32054624456783</v>
      </c>
      <c r="D3" s="2">
        <v>9.3205032346162199E-7</v>
      </c>
      <c r="E3" s="1">
        <v>-2.2069056262275901E-4</v>
      </c>
      <c r="F3" s="1">
        <v>2.65740710750456</v>
      </c>
      <c r="G3" s="1">
        <v>40.379536680166602</v>
      </c>
      <c r="H3" s="1">
        <v>7.5215001461198105E-4</v>
      </c>
      <c r="I3" s="1">
        <v>1.9690673651155101E-2</v>
      </c>
      <c r="N3" t="s">
        <v>31</v>
      </c>
      <c r="O3" s="1">
        <f>_xlfn.STDEV.S(B2:B22)</f>
        <v>4.0978861398778517E-3</v>
      </c>
      <c r="P3" s="1">
        <f t="shared" ref="P3:V3" si="1">_xlfn.STDEV.S(C2:C22)</f>
        <v>3.6713524915375439E-3</v>
      </c>
      <c r="Q3" s="1">
        <f t="shared" si="1"/>
        <v>4.4026782556261869E-4</v>
      </c>
      <c r="R3" s="1">
        <f t="shared" si="1"/>
        <v>5.9330755431303066E-5</v>
      </c>
      <c r="S3" s="1">
        <f t="shared" si="1"/>
        <v>0.25633803552131729</v>
      </c>
      <c r="T3" s="1">
        <f t="shared" si="1"/>
        <v>1.9707466496906076</v>
      </c>
      <c r="U3" s="1">
        <f t="shared" si="1"/>
        <v>2.2219532563610803E-19</v>
      </c>
      <c r="V3" s="1">
        <f t="shared" si="1"/>
        <v>3.607255570116632E-3</v>
      </c>
    </row>
    <row r="4" spans="1:22" ht="43.5" x14ac:dyDescent="0.35">
      <c r="A4" s="1" t="s">
        <v>10</v>
      </c>
      <c r="B4" s="1">
        <v>0.20662316739085199</v>
      </c>
      <c r="C4" s="1">
        <v>1.3180155311102999</v>
      </c>
      <c r="D4" s="1">
        <v>5.9701016444520401E-4</v>
      </c>
      <c r="E4" s="1">
        <v>-3.1177824587570198E-4</v>
      </c>
      <c r="F4" s="1">
        <v>2.6465430748613401</v>
      </c>
      <c r="G4" s="1">
        <v>40.399467422472298</v>
      </c>
      <c r="H4" s="1">
        <v>7.5215001461198105E-4</v>
      </c>
      <c r="I4" s="1">
        <v>2.1156861233915501E-2</v>
      </c>
      <c r="N4" t="s">
        <v>32</v>
      </c>
      <c r="O4" s="1">
        <f>O3/O2</f>
        <v>1.9372723895757046E-2</v>
      </c>
      <c r="P4" s="1">
        <f t="shared" ref="P4:V4" si="2">P3/P2</f>
        <v>2.7933113526575188E-3</v>
      </c>
      <c r="Q4" s="1">
        <f t="shared" si="2"/>
        <v>3.0357445432706975</v>
      </c>
      <c r="R4" s="1">
        <f t="shared" si="2"/>
        <v>-0.22558222567888722</v>
      </c>
      <c r="S4" s="1">
        <f t="shared" si="2"/>
        <v>0.10438566624365168</v>
      </c>
      <c r="T4" s="1">
        <f t="shared" si="2"/>
        <v>4.6614714355487995E-2</v>
      </c>
      <c r="U4" s="1">
        <f t="shared" si="2"/>
        <v>2.9541357617434074E-16</v>
      </c>
      <c r="V4" s="1">
        <f t="shared" si="2"/>
        <v>0.14188887078201462</v>
      </c>
    </row>
    <row r="5" spans="1:22" ht="43.5" x14ac:dyDescent="0.35">
      <c r="A5" s="1" t="s">
        <v>11</v>
      </c>
      <c r="B5" s="1">
        <v>0.20770262378267801</v>
      </c>
      <c r="C5" s="1">
        <v>1.3143453470063</v>
      </c>
      <c r="D5" s="1">
        <v>1.9560759385183E-4</v>
      </c>
      <c r="E5" s="1">
        <v>-2.60684142833781E-4</v>
      </c>
      <c r="F5" s="1">
        <v>2.6373318338372198</v>
      </c>
      <c r="G5" s="1">
        <v>40.394805514471301</v>
      </c>
      <c r="H5" s="1">
        <v>7.5215001461198105E-4</v>
      </c>
      <c r="I5" s="1">
        <v>2.52956921221387E-2</v>
      </c>
      <c r="N5" t="s">
        <v>33</v>
      </c>
      <c r="O5" s="1">
        <f>O4/SQRT(COUNT(B2:B22)) * 100</f>
        <v>0.42274749366564984</v>
      </c>
      <c r="P5" s="1">
        <f t="shared" ref="P5:V5" si="3">P4/COUNT(B2:B22) * 100</f>
        <v>1.3301482631702471E-2</v>
      </c>
      <c r="Q5" s="1">
        <f t="shared" si="3"/>
        <v>14.455926396527129</v>
      </c>
      <c r="R5" s="1">
        <f t="shared" si="3"/>
        <v>-1.0742010746613677</v>
      </c>
      <c r="S5" s="1">
        <f t="shared" si="3"/>
        <v>0.4970746011602461</v>
      </c>
      <c r="T5" s="1">
        <f t="shared" si="3"/>
        <v>0.22197483026422854</v>
      </c>
      <c r="U5" s="1">
        <f t="shared" si="3"/>
        <v>1.4067313151159084E-15</v>
      </c>
      <c r="V5" s="1">
        <f t="shared" si="3"/>
        <v>0.67566128943816495</v>
      </c>
    </row>
    <row r="6" spans="1:22" ht="43.5" x14ac:dyDescent="0.35">
      <c r="A6" s="1" t="s">
        <v>12</v>
      </c>
      <c r="B6" s="1">
        <v>0.209595431054375</v>
      </c>
      <c r="C6" s="1">
        <v>1.3119536446540201</v>
      </c>
      <c r="D6" s="2">
        <v>5.4114258045489101E-5</v>
      </c>
      <c r="E6" s="1">
        <v>-2.18824568920306E-4</v>
      </c>
      <c r="F6" s="1">
        <v>2.6551175725134999</v>
      </c>
      <c r="G6" s="1">
        <v>40.478876229951901</v>
      </c>
      <c r="H6" s="1">
        <v>7.5215001461198105E-4</v>
      </c>
      <c r="I6" s="1">
        <v>2.7813641763690701E-2</v>
      </c>
    </row>
    <row r="7" spans="1:22" ht="43.5" x14ac:dyDescent="0.35">
      <c r="A7" s="1" t="s">
        <v>13</v>
      </c>
      <c r="B7" s="1">
        <v>0.20538693458861701</v>
      </c>
      <c r="C7" s="1">
        <v>1.3191444627689699</v>
      </c>
      <c r="D7" s="1">
        <v>3.08635042725253E-4</v>
      </c>
      <c r="E7" s="1">
        <v>-2.5997101044201201E-4</v>
      </c>
      <c r="F7" s="1">
        <v>2.6390254301181599</v>
      </c>
      <c r="G7" s="1">
        <v>40.419248681479502</v>
      </c>
      <c r="H7" s="1">
        <v>7.5215001461198105E-4</v>
      </c>
      <c r="I7" s="1">
        <v>2.02670765829241E-2</v>
      </c>
    </row>
    <row r="8" spans="1:22" ht="43.5" x14ac:dyDescent="0.35">
      <c r="A8" s="1" t="s">
        <v>14</v>
      </c>
      <c r="B8" s="1">
        <v>0.20579809973947</v>
      </c>
      <c r="C8" s="1">
        <v>1.3149356176596301</v>
      </c>
      <c r="D8" s="1">
        <v>4.3955166836889202E-4</v>
      </c>
      <c r="E8" s="1">
        <v>-3.0295738798703602E-4</v>
      </c>
      <c r="F8" s="1">
        <v>2.63974054574255</v>
      </c>
      <c r="G8" s="1">
        <v>40.407170017074101</v>
      </c>
      <c r="H8" s="1">
        <v>7.5215001461198105E-4</v>
      </c>
      <c r="I8" s="1">
        <v>2.4544193616181199E-2</v>
      </c>
    </row>
    <row r="9" spans="1:22" ht="43.5" x14ac:dyDescent="0.35">
      <c r="A9" s="1" t="s">
        <v>15</v>
      </c>
      <c r="B9" s="1">
        <v>0.210070324599267</v>
      </c>
      <c r="C9" s="1">
        <v>1.31969327841137</v>
      </c>
      <c r="D9" s="2">
        <v>-2.0537127256232899E-5</v>
      </c>
      <c r="E9" s="1">
        <v>-2.5979486358737098E-4</v>
      </c>
      <c r="F9" s="1">
        <v>2.1605018248265502</v>
      </c>
      <c r="G9" s="1">
        <v>40.599099410837702</v>
      </c>
      <c r="H9" s="1">
        <v>7.5215001461198105E-4</v>
      </c>
      <c r="I9" s="1">
        <v>1.9742113497829599E-2</v>
      </c>
    </row>
    <row r="10" spans="1:22" ht="43.5" x14ac:dyDescent="0.35">
      <c r="A10" s="1" t="s">
        <v>16</v>
      </c>
      <c r="B10" s="1">
        <v>0.21275673115754801</v>
      </c>
      <c r="C10" s="1">
        <v>1.31795725825986</v>
      </c>
      <c r="D10" s="1">
        <v>3.58831109443551E-4</v>
      </c>
      <c r="E10" s="1">
        <v>-3.3348130057434498E-4</v>
      </c>
      <c r="F10" s="1">
        <v>2.1536470662371099</v>
      </c>
      <c r="G10" s="1">
        <v>44.4005234049568</v>
      </c>
      <c r="H10" s="1">
        <v>7.5215001461198105E-4</v>
      </c>
      <c r="I10" s="1">
        <v>2.2055525655151599E-2</v>
      </c>
    </row>
    <row r="11" spans="1:22" ht="43.5" x14ac:dyDescent="0.35">
      <c r="A11" s="1" t="s">
        <v>17</v>
      </c>
      <c r="B11" s="1">
        <v>0.21652324403034801</v>
      </c>
      <c r="C11" s="1">
        <v>1.3132385668555799</v>
      </c>
      <c r="D11" s="1">
        <v>6.0185067212988595E-4</v>
      </c>
      <c r="E11" s="1">
        <v>-3.0316275463132699E-4</v>
      </c>
      <c r="F11" s="1">
        <v>2.6530672024435198</v>
      </c>
      <c r="G11" s="1">
        <v>44.411919712672201</v>
      </c>
      <c r="H11" s="1">
        <v>7.5215001461198105E-4</v>
      </c>
      <c r="I11" s="1">
        <v>2.60224294445799E-2</v>
      </c>
    </row>
    <row r="12" spans="1:22" ht="43.5" x14ac:dyDescent="0.35">
      <c r="A12" s="1" t="s">
        <v>18</v>
      </c>
      <c r="B12" s="1">
        <v>0.21641690962021001</v>
      </c>
      <c r="C12" s="1">
        <v>1.31087090851516</v>
      </c>
      <c r="D12" s="1">
        <v>7.9006508455477004E-4</v>
      </c>
      <c r="E12" s="1">
        <v>-3.6273303542747699E-4</v>
      </c>
      <c r="F12" s="1">
        <v>2.65358572158706</v>
      </c>
      <c r="G12" s="1">
        <v>44.4506002110002</v>
      </c>
      <c r="H12" s="1">
        <v>7.5215001461198105E-4</v>
      </c>
      <c r="I12" s="1">
        <v>2.8258156796543699E-2</v>
      </c>
    </row>
    <row r="13" spans="1:22" ht="43.5" x14ac:dyDescent="0.35">
      <c r="A13" s="1" t="s">
        <v>19</v>
      </c>
      <c r="B13" s="1">
        <v>0.21275343465184901</v>
      </c>
      <c r="C13" s="1">
        <v>1.3114582428188799</v>
      </c>
      <c r="D13" s="1">
        <v>6.6779361824909804E-4</v>
      </c>
      <c r="E13" s="1">
        <v>-3.4754508382448001E-4</v>
      </c>
      <c r="F13" s="1">
        <v>2.64350358407953</v>
      </c>
      <c r="G13" s="1">
        <v>40.893051402816603</v>
      </c>
      <c r="H13" s="1">
        <v>7.5215001461198105E-4</v>
      </c>
      <c r="I13" s="1">
        <v>2.8098251247971901E-2</v>
      </c>
    </row>
    <row r="14" spans="1:22" ht="43.5" x14ac:dyDescent="0.35">
      <c r="A14" s="1" t="s">
        <v>20</v>
      </c>
      <c r="B14" s="1">
        <v>0.208884934485742</v>
      </c>
      <c r="C14" s="1">
        <v>1.3113418122692</v>
      </c>
      <c r="D14" s="1">
        <v>-2.0365478677317601E-4</v>
      </c>
      <c r="E14" s="1">
        <v>-2.2658019773699799E-4</v>
      </c>
      <c r="F14" s="1">
        <v>2.1418275452212701</v>
      </c>
      <c r="G14" s="1">
        <v>40.425171567431001</v>
      </c>
      <c r="H14" s="1">
        <v>7.5215001461198105E-4</v>
      </c>
      <c r="I14" s="1">
        <v>2.8581972730435199E-2</v>
      </c>
    </row>
    <row r="15" spans="1:22" ht="43.5" x14ac:dyDescent="0.35">
      <c r="A15" s="1" t="s">
        <v>21</v>
      </c>
      <c r="B15" s="1">
        <v>0.21116438224453701</v>
      </c>
      <c r="C15" s="1">
        <v>1.3165193792210499</v>
      </c>
      <c r="D15" s="1">
        <v>-3.5570317119880499E-4</v>
      </c>
      <c r="E15" s="1">
        <v>-2.07745147876995E-4</v>
      </c>
      <c r="F15" s="1">
        <v>2.15020619524641</v>
      </c>
      <c r="G15" s="1">
        <v>44.423483045283199</v>
      </c>
      <c r="H15" s="1">
        <v>7.5215001461198105E-4</v>
      </c>
      <c r="I15" s="1">
        <v>2.3418674849850201E-2</v>
      </c>
    </row>
    <row r="16" spans="1:22" ht="43.5" x14ac:dyDescent="0.35">
      <c r="A16" s="1" t="s">
        <v>22</v>
      </c>
      <c r="B16" s="1">
        <v>0.21223952305306101</v>
      </c>
      <c r="C16" s="1">
        <v>1.3147536949329199</v>
      </c>
      <c r="D16" s="1">
        <v>1.8897347711735601E-4</v>
      </c>
      <c r="E16" s="1">
        <v>-2.5023101020663698E-4</v>
      </c>
      <c r="F16" s="1">
        <v>2.6462106045215301</v>
      </c>
      <c r="G16" s="1">
        <v>42.538468810698802</v>
      </c>
      <c r="H16" s="1">
        <v>7.5215001461198105E-4</v>
      </c>
      <c r="I16" s="1">
        <v>2.4745558221001902E-2</v>
      </c>
    </row>
    <row r="17" spans="1:9" ht="43.5" x14ac:dyDescent="0.35">
      <c r="A17" s="1" t="s">
        <v>23</v>
      </c>
      <c r="B17" s="1">
        <v>0.21832353710526101</v>
      </c>
      <c r="C17" s="1">
        <v>1.31299085998799</v>
      </c>
      <c r="D17" s="1">
        <v>-4.2765788564893902E-4</v>
      </c>
      <c r="E17" s="1">
        <v>-2.0691717790745701E-4</v>
      </c>
      <c r="F17" s="1">
        <v>2.15518241675171</v>
      </c>
      <c r="G17" s="1">
        <v>44.4173730010532</v>
      </c>
      <c r="H17" s="1">
        <v>7.5215001461198105E-4</v>
      </c>
      <c r="I17" s="1">
        <v>2.7867675972441198E-2</v>
      </c>
    </row>
    <row r="18" spans="1:9" ht="43.5" x14ac:dyDescent="0.35">
      <c r="A18" s="1" t="s">
        <v>24</v>
      </c>
      <c r="B18" s="1">
        <v>0.20530572750096901</v>
      </c>
      <c r="C18" s="1">
        <v>1.3204412227536899</v>
      </c>
      <c r="D18" s="1">
        <v>-1.66153154983826E-4</v>
      </c>
      <c r="E18" s="1">
        <v>-2.24172450243547E-4</v>
      </c>
      <c r="F18" s="1">
        <v>2.3938685529705999</v>
      </c>
      <c r="G18" s="1">
        <v>40.468923408405502</v>
      </c>
      <c r="H18" s="1">
        <v>7.5215001461198105E-4</v>
      </c>
      <c r="I18" s="1">
        <v>2.0378308636655199E-2</v>
      </c>
    </row>
    <row r="19" spans="1:9" ht="43.5" x14ac:dyDescent="0.35">
      <c r="A19" s="1" t="s">
        <v>25</v>
      </c>
      <c r="B19" s="1">
        <v>0.21753519420846301</v>
      </c>
      <c r="C19" s="1">
        <v>1.3095843635357201</v>
      </c>
      <c r="D19" s="1">
        <v>1.1233580963092901E-3</v>
      </c>
      <c r="E19" s="1">
        <v>-3.9247718340895498E-4</v>
      </c>
      <c r="F19" s="1">
        <v>2.8544582829369598</v>
      </c>
      <c r="G19" s="1">
        <v>44.488936118024299</v>
      </c>
      <c r="H19" s="1">
        <v>7.5215001461198105E-4</v>
      </c>
      <c r="I19" s="1">
        <v>2.89525307949672E-2</v>
      </c>
    </row>
    <row r="20" spans="1:9" ht="43.5" x14ac:dyDescent="0.35">
      <c r="A20" s="1" t="s">
        <v>26</v>
      </c>
      <c r="B20" s="1">
        <v>0.21592303126088699</v>
      </c>
      <c r="C20" s="1">
        <v>1.3108621954556701</v>
      </c>
      <c r="D20" s="1">
        <v>-3.6761474386663397E-4</v>
      </c>
      <c r="E20" s="1">
        <v>-1.8495380906791601E-4</v>
      </c>
      <c r="F20" s="1">
        <v>2.4021123673120499</v>
      </c>
      <c r="G20" s="1">
        <v>44.4780249293905</v>
      </c>
      <c r="H20" s="1">
        <v>7.5215001461198105E-4</v>
      </c>
      <c r="I20" s="1">
        <v>2.9210034021443398E-2</v>
      </c>
    </row>
    <row r="21" spans="1:9" ht="43.5" x14ac:dyDescent="0.35">
      <c r="A21" s="1" t="s">
        <v>27</v>
      </c>
      <c r="B21" s="1">
        <v>0.211655607306068</v>
      </c>
      <c r="C21" s="1">
        <v>1.3109603346946599</v>
      </c>
      <c r="D21" s="1">
        <v>-2.02140435092755E-4</v>
      </c>
      <c r="E21" s="1">
        <v>-2.1698903774890901E-4</v>
      </c>
      <c r="F21" s="1">
        <v>2.3961283994248999</v>
      </c>
      <c r="G21" s="1">
        <v>44.498674882540897</v>
      </c>
      <c r="H21" s="1">
        <v>7.5215001461198105E-4</v>
      </c>
      <c r="I21" s="1">
        <v>2.91855237178896E-2</v>
      </c>
    </row>
    <row r="22" spans="1:9" ht="43.5" x14ac:dyDescent="0.35">
      <c r="A22" s="1" t="s">
        <v>28</v>
      </c>
      <c r="B22" s="1">
        <v>0.21236601376132699</v>
      </c>
      <c r="C22" s="1">
        <v>1.31075504613575</v>
      </c>
      <c r="D22" s="1">
        <v>-4.6130638114002799E-4</v>
      </c>
      <c r="E22" s="1">
        <v>-2.0240872590887799E-4</v>
      </c>
      <c r="F22" s="1">
        <v>1.8957063419998299</v>
      </c>
      <c r="G22" s="1">
        <v>40.4719206263361</v>
      </c>
      <c r="H22" s="1">
        <v>7.5215001461198105E-4</v>
      </c>
      <c r="I22" s="1">
        <v>2.9425260298147401E-2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3493-8AF1-41A2-BECD-C23FCCD7B8BC}">
  <dimension ref="A1:V22"/>
  <sheetViews>
    <sheetView workbookViewId="0">
      <selection sqref="A1:B1048576"/>
    </sheetView>
  </sheetViews>
  <sheetFormatPr defaultRowHeight="14.5" x14ac:dyDescent="0.35"/>
  <cols>
    <col min="15" max="15" width="11.36328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</row>
    <row r="2" spans="1:22" ht="43.5" x14ac:dyDescent="0.35">
      <c r="A2" s="1" t="s">
        <v>8</v>
      </c>
      <c r="B2" s="1">
        <v>11.1770115437445</v>
      </c>
      <c r="C2" s="1">
        <v>1.12784195318961</v>
      </c>
      <c r="D2" s="1">
        <v>-4.1998917780755899E-3</v>
      </c>
      <c r="E2" s="1">
        <v>1.85259652217641</v>
      </c>
      <c r="F2" s="1">
        <v>40.9793126635943</v>
      </c>
      <c r="G2" s="1">
        <v>2.2873004957014E-3</v>
      </c>
      <c r="H2" s="1">
        <v>5.8595883720595501E-2</v>
      </c>
      <c r="N2" t="s">
        <v>30</v>
      </c>
      <c r="O2" s="1">
        <f>AVERAGE(B2:B22)</f>
        <v>11.297513030926769</v>
      </c>
      <c r="P2" s="1">
        <f>AVERAGE(C2:C22)</f>
        <v>1.1290692665064548</v>
      </c>
      <c r="Q2" s="1">
        <f>AVERAGE(D2:D22)</f>
        <v>-4.1507106455018119E-3</v>
      </c>
      <c r="R2" s="1">
        <f t="shared" ref="P2:V2" si="0">AVERAGE(E2:E22)</f>
        <v>1.9497256529806766</v>
      </c>
      <c r="S2" s="1">
        <f t="shared" si="0"/>
        <v>42.484248821963725</v>
      </c>
      <c r="T2" s="1">
        <f>AVERAGE(G2:G22)</f>
        <v>2.2873004957014004E-3</v>
      </c>
      <c r="U2" s="1">
        <f t="shared" si="0"/>
        <v>5.8576110872212282E-2</v>
      </c>
      <c r="V2" s="1"/>
    </row>
    <row r="3" spans="1:22" ht="43.5" x14ac:dyDescent="0.35">
      <c r="A3" s="1" t="s">
        <v>9</v>
      </c>
      <c r="B3" s="1">
        <v>11.329302054832899</v>
      </c>
      <c r="C3" s="1">
        <v>1.1269301110215499</v>
      </c>
      <c r="D3" s="1">
        <v>-4.1163501732121802E-3</v>
      </c>
      <c r="E3" s="1">
        <v>1.85266885407253</v>
      </c>
      <c r="F3" s="1">
        <v>40.3795368314398</v>
      </c>
      <c r="G3" s="1">
        <v>2.2873004957014E-3</v>
      </c>
      <c r="H3" s="1">
        <v>5.9117241039108898E-2</v>
      </c>
      <c r="N3" t="s">
        <v>31</v>
      </c>
      <c r="O3" s="1">
        <f>_xlfn.STDEV.S(B2:B22)</f>
        <v>7.5288545569695872E-2</v>
      </c>
      <c r="P3" s="1">
        <f t="shared" ref="P3:V3" si="1">_xlfn.STDEV.S(C2:C22)</f>
        <v>1.6890742126044042E-3</v>
      </c>
      <c r="Q3" s="1">
        <f t="shared" si="1"/>
        <v>1.9992099240385337E-4</v>
      </c>
      <c r="R3" s="1">
        <f t="shared" si="1"/>
        <v>0.14960984234481575</v>
      </c>
      <c r="S3" s="1">
        <f t="shared" si="1"/>
        <v>1.6767947445274638</v>
      </c>
      <c r="T3" s="1">
        <f t="shared" si="1"/>
        <v>4.4439065127221605E-19</v>
      </c>
      <c r="U3" s="1">
        <f t="shared" si="1"/>
        <v>5.7444093586615352E-4</v>
      </c>
      <c r="V3" s="1"/>
    </row>
    <row r="4" spans="1:22" ht="43.5" x14ac:dyDescent="0.35">
      <c r="A4" s="1" t="s">
        <v>10</v>
      </c>
      <c r="B4" s="1">
        <v>11.3600930964895</v>
      </c>
      <c r="C4" s="1">
        <v>1.12787453618829</v>
      </c>
      <c r="D4" s="1">
        <v>-4.0918481616925599E-3</v>
      </c>
      <c r="E4" s="1">
        <v>1.8533848806020301</v>
      </c>
      <c r="F4" s="1">
        <v>40.737405401427303</v>
      </c>
      <c r="G4" s="1">
        <v>2.2873004957014E-3</v>
      </c>
      <c r="H4" s="1">
        <v>5.8048660407825803E-2</v>
      </c>
      <c r="N4" t="s">
        <v>32</v>
      </c>
      <c r="O4" s="1">
        <f>O3/O2</f>
        <v>6.6641698366352517E-3</v>
      </c>
      <c r="P4" s="1">
        <f t="shared" ref="P4:V4" si="2">P3/P2</f>
        <v>1.4959881228816957E-3</v>
      </c>
      <c r="Q4" s="1">
        <f t="shared" si="2"/>
        <v>-4.8165485257448813E-2</v>
      </c>
      <c r="R4" s="1">
        <f t="shared" si="2"/>
        <v>7.6733791811220795E-2</v>
      </c>
      <c r="S4" s="1">
        <f t="shared" si="2"/>
        <v>3.9468621689754013E-2</v>
      </c>
      <c r="T4" s="1">
        <f t="shared" si="2"/>
        <v>1.9428608182762786E-16</v>
      </c>
      <c r="U4" s="1">
        <f t="shared" si="2"/>
        <v>9.8067442053183587E-3</v>
      </c>
      <c r="V4" s="1"/>
    </row>
    <row r="5" spans="1:22" ht="43.5" x14ac:dyDescent="0.35">
      <c r="A5" s="1" t="s">
        <v>11</v>
      </c>
      <c r="B5" s="1">
        <v>11.3608067417883</v>
      </c>
      <c r="C5" s="1">
        <v>1.12822943190567</v>
      </c>
      <c r="D5" s="1">
        <v>-4.17712242965655E-3</v>
      </c>
      <c r="E5" s="1">
        <v>2.0530192568739598</v>
      </c>
      <c r="F5" s="1">
        <v>40.393685333745303</v>
      </c>
      <c r="G5" s="1">
        <v>2.2873004957014E-3</v>
      </c>
      <c r="H5" s="1">
        <v>5.7921437347126799E-2</v>
      </c>
      <c r="N5" t="s">
        <v>33</v>
      </c>
      <c r="O5" s="1">
        <f>O4/SQRT(COUNT(B2:B22)) * 100</f>
        <v>0.14542410819248827</v>
      </c>
      <c r="P5" s="1">
        <f t="shared" ref="P5:V5" si="3">P4/SQRT(COUNT(C2:C22)) * 100</f>
        <v>3.2645137199334616E-2</v>
      </c>
      <c r="Q5" s="1">
        <f t="shared" si="3"/>
        <v>-1.0510570575073275</v>
      </c>
      <c r="R5" s="1">
        <f t="shared" si="3"/>
        <v>1.6744686158852471</v>
      </c>
      <c r="S5" s="1">
        <f t="shared" si="3"/>
        <v>0.86127593556606497</v>
      </c>
      <c r="T5" s="1">
        <f t="shared" si="3"/>
        <v>4.239669887864233E-15</v>
      </c>
      <c r="U5" s="1">
        <f t="shared" si="3"/>
        <v>0.21400070305686159</v>
      </c>
      <c r="V5" s="1"/>
    </row>
    <row r="6" spans="1:22" ht="43.5" x14ac:dyDescent="0.35">
      <c r="A6" s="1" t="s">
        <v>12</v>
      </c>
      <c r="B6" s="1">
        <v>11.2077787773182</v>
      </c>
      <c r="C6" s="1">
        <v>1.1290258701795199</v>
      </c>
      <c r="D6" s="1">
        <v>-4.2643073660715899E-3</v>
      </c>
      <c r="E6" s="1">
        <v>2.0523048811093001</v>
      </c>
      <c r="F6" s="1">
        <v>40.393612101972003</v>
      </c>
      <c r="G6" s="1">
        <v>2.2873004957014E-3</v>
      </c>
      <c r="H6" s="1">
        <v>5.7118782522832E-2</v>
      </c>
    </row>
    <row r="7" spans="1:22" ht="43.5" x14ac:dyDescent="0.35">
      <c r="A7" s="1" t="s">
        <v>13</v>
      </c>
      <c r="B7" s="1">
        <v>11.3591768457862</v>
      </c>
      <c r="C7" s="1">
        <v>1.12678296831242</v>
      </c>
      <c r="D7" s="1">
        <v>-3.99244170271814E-3</v>
      </c>
      <c r="E7" s="1">
        <v>1.8520806559988601</v>
      </c>
      <c r="F7" s="1">
        <v>40.418976666667596</v>
      </c>
      <c r="G7" s="1">
        <v>2.2873004957014E-3</v>
      </c>
      <c r="H7" s="1">
        <v>5.8093074214184297E-2</v>
      </c>
    </row>
    <row r="8" spans="1:22" ht="43.5" x14ac:dyDescent="0.35">
      <c r="A8" s="1" t="s">
        <v>14</v>
      </c>
      <c r="B8" s="1">
        <v>11.3151694371932</v>
      </c>
      <c r="C8" s="1">
        <v>1.12895605165716</v>
      </c>
      <c r="D8" s="1">
        <v>-4.1332834903488299E-3</v>
      </c>
      <c r="E8" s="1">
        <v>2.0527336472124702</v>
      </c>
      <c r="F8" s="1">
        <v>43.372534491376598</v>
      </c>
      <c r="G8" s="1">
        <v>2.2873004957014E-3</v>
      </c>
      <c r="H8" s="1">
        <v>5.7560434872749297E-2</v>
      </c>
    </row>
    <row r="9" spans="1:22" ht="43.5" x14ac:dyDescent="0.35">
      <c r="A9" s="1" t="s">
        <v>15</v>
      </c>
      <c r="B9" s="1">
        <v>11.3416526476838</v>
      </c>
      <c r="C9" s="1">
        <v>1.1269274637756499</v>
      </c>
      <c r="D9" s="1">
        <v>-4.1081196089547602E-3</v>
      </c>
      <c r="E9" s="1">
        <v>1.8510397953145199</v>
      </c>
      <c r="F9" s="1">
        <v>40.410558666742901</v>
      </c>
      <c r="G9" s="1">
        <v>2.2873004957014E-3</v>
      </c>
      <c r="H9" s="1">
        <v>5.83142567843851E-2</v>
      </c>
    </row>
    <row r="10" spans="1:22" ht="43.5" x14ac:dyDescent="0.35">
      <c r="A10" s="1" t="s">
        <v>16</v>
      </c>
      <c r="B10" s="1">
        <v>11.2733188316857</v>
      </c>
      <c r="C10" s="1">
        <v>1.1319197664301499</v>
      </c>
      <c r="D10" s="1">
        <v>-3.9170690883616396E-3</v>
      </c>
      <c r="E10" s="1">
        <v>1.8518786512686001</v>
      </c>
      <c r="F10" s="1">
        <v>41.053596487270397</v>
      </c>
      <c r="G10" s="1">
        <v>2.2873004957014E-3</v>
      </c>
      <c r="H10" s="1">
        <v>5.9052317420837198E-2</v>
      </c>
    </row>
    <row r="11" spans="1:22" ht="43.5" x14ac:dyDescent="0.35">
      <c r="A11" s="1" t="s">
        <v>17</v>
      </c>
      <c r="B11" s="1">
        <v>11.3890419779139</v>
      </c>
      <c r="C11" s="1">
        <v>1.1326957368010899</v>
      </c>
      <c r="D11" s="1">
        <v>-4.82429119009266E-3</v>
      </c>
      <c r="E11" s="1">
        <v>1.8517700862812301</v>
      </c>
      <c r="F11" s="1">
        <v>43.090147463930798</v>
      </c>
      <c r="G11" s="1">
        <v>2.2873004957014E-3</v>
      </c>
      <c r="H11" s="1">
        <v>5.84112100186851E-2</v>
      </c>
    </row>
    <row r="12" spans="1:22" ht="43.5" x14ac:dyDescent="0.35">
      <c r="A12" s="1" t="s">
        <v>18</v>
      </c>
      <c r="B12" s="1">
        <v>11.293114778862501</v>
      </c>
      <c r="C12" s="1">
        <v>1.13180449458185</v>
      </c>
      <c r="D12" s="1">
        <v>-4.5169087808047898E-3</v>
      </c>
      <c r="E12" s="1">
        <v>2.1024384573629198</v>
      </c>
      <c r="F12" s="1">
        <v>44.450600660363797</v>
      </c>
      <c r="G12" s="1">
        <v>2.2873004957014E-3</v>
      </c>
      <c r="H12" s="1">
        <v>5.9033208704615897E-2</v>
      </c>
    </row>
    <row r="13" spans="1:22" ht="43.5" x14ac:dyDescent="0.35">
      <c r="A13" s="1" t="s">
        <v>19</v>
      </c>
      <c r="B13" s="1">
        <v>11.283064557196401</v>
      </c>
      <c r="C13" s="1">
        <v>1.1288110250929699</v>
      </c>
      <c r="D13" s="1">
        <v>-4.0776664192501899E-3</v>
      </c>
      <c r="E13" s="1">
        <v>1.8513347682616701</v>
      </c>
      <c r="F13" s="1">
        <v>43.013134284760199</v>
      </c>
      <c r="G13" s="1">
        <v>2.2873004957014E-3</v>
      </c>
      <c r="H13" s="1">
        <v>5.8782461248282999E-2</v>
      </c>
    </row>
    <row r="14" spans="1:22" ht="43.5" x14ac:dyDescent="0.35">
      <c r="A14" s="1" t="s">
        <v>20</v>
      </c>
      <c r="B14" s="1">
        <v>11.465869859655999</v>
      </c>
      <c r="C14" s="1">
        <v>1.1282238536438101</v>
      </c>
      <c r="D14" s="1">
        <v>-4.0490717575799697E-3</v>
      </c>
      <c r="E14" s="1">
        <v>1.85156083645114</v>
      </c>
      <c r="F14" s="1">
        <v>42.839894989920403</v>
      </c>
      <c r="G14" s="1">
        <v>2.2873004957014E-3</v>
      </c>
      <c r="H14" s="1">
        <v>5.9122161900452601E-2</v>
      </c>
    </row>
    <row r="15" spans="1:22" ht="43.5" x14ac:dyDescent="0.35">
      <c r="A15" s="1" t="s">
        <v>21</v>
      </c>
      <c r="B15" s="1">
        <v>11.213397155062999</v>
      </c>
      <c r="C15" s="1">
        <v>1.1282684415219899</v>
      </c>
      <c r="D15" s="1">
        <v>-3.8885079807161401E-3</v>
      </c>
      <c r="E15" s="1">
        <v>1.8526197731338401</v>
      </c>
      <c r="F15" s="1">
        <v>44.425156663188901</v>
      </c>
      <c r="G15" s="1">
        <v>2.2873004957014E-3</v>
      </c>
      <c r="H15" s="1">
        <v>5.8424956327953602E-2</v>
      </c>
    </row>
    <row r="16" spans="1:22" ht="43.5" x14ac:dyDescent="0.35">
      <c r="A16" s="1" t="s">
        <v>22</v>
      </c>
      <c r="B16" s="1">
        <v>11.371341530264001</v>
      </c>
      <c r="C16" s="1">
        <v>1.1270507565306001</v>
      </c>
      <c r="D16" s="1">
        <v>-4.1576311413219899E-3</v>
      </c>
      <c r="E16" s="1">
        <v>1.5517596888291201</v>
      </c>
      <c r="F16" s="1">
        <v>42.9824826868862</v>
      </c>
      <c r="G16" s="1">
        <v>2.2873004957014E-3</v>
      </c>
      <c r="H16" s="1">
        <v>5.8634524378735502E-2</v>
      </c>
    </row>
    <row r="17" spans="1:8" ht="43.5" x14ac:dyDescent="0.35">
      <c r="A17" s="1" t="s">
        <v>23</v>
      </c>
      <c r="B17" s="1">
        <v>11.2500539704759</v>
      </c>
      <c r="C17" s="1">
        <v>1.13072172909166</v>
      </c>
      <c r="D17" s="1">
        <v>-4.1601573359227699E-3</v>
      </c>
      <c r="E17" s="1">
        <v>2.1015435811243801</v>
      </c>
      <c r="F17" s="1">
        <v>44.225397364048099</v>
      </c>
      <c r="G17" s="1">
        <v>2.2873004957014E-3</v>
      </c>
      <c r="H17" s="1">
        <v>5.9345409350320497E-2</v>
      </c>
    </row>
    <row r="18" spans="1:8" ht="43.5" x14ac:dyDescent="0.35">
      <c r="A18" s="1" t="s">
        <v>24</v>
      </c>
      <c r="B18" s="1">
        <v>11.260353899465199</v>
      </c>
      <c r="C18" s="1">
        <v>1.1296046669895901</v>
      </c>
      <c r="D18" s="1">
        <v>-4.0351531890958896E-3</v>
      </c>
      <c r="E18" s="1">
        <v>2.1018229248848299</v>
      </c>
      <c r="F18" s="1">
        <v>44.466594665678201</v>
      </c>
      <c r="G18" s="1">
        <v>2.2873004957014E-3</v>
      </c>
      <c r="H18" s="1">
        <v>5.9156247281704301E-2</v>
      </c>
    </row>
    <row r="19" spans="1:8" ht="43.5" x14ac:dyDescent="0.35">
      <c r="A19" s="1" t="s">
        <v>25</v>
      </c>
      <c r="B19" s="1">
        <v>11.259822883760901</v>
      </c>
      <c r="C19" s="1">
        <v>1.12975050351766</v>
      </c>
      <c r="D19" s="1">
        <v>-4.0533991489610901E-3</v>
      </c>
      <c r="E19" s="1">
        <v>2.1019624247308801</v>
      </c>
      <c r="F19" s="1">
        <v>44.488971995712397</v>
      </c>
      <c r="G19" s="1">
        <v>2.2873004957014E-3</v>
      </c>
      <c r="H19" s="1">
        <v>5.9030370984156103E-2</v>
      </c>
    </row>
    <row r="20" spans="1:8" ht="43.5" x14ac:dyDescent="0.35">
      <c r="A20" s="1" t="s">
        <v>26</v>
      </c>
      <c r="B20" s="1">
        <v>11.1846809114396</v>
      </c>
      <c r="C20" s="1">
        <v>1.1299077665031301</v>
      </c>
      <c r="D20" s="1">
        <v>-4.1312560963690896E-3</v>
      </c>
      <c r="E20" s="1">
        <v>2.1027314463315498</v>
      </c>
      <c r="F20" s="1">
        <v>43.922209192830302</v>
      </c>
      <c r="G20" s="1">
        <v>2.2873004957014E-3</v>
      </c>
      <c r="H20" s="1">
        <v>5.8694922739556503E-2</v>
      </c>
    </row>
    <row r="21" spans="1:8" ht="43.5" x14ac:dyDescent="0.35">
      <c r="A21" s="1" t="s">
        <v>27</v>
      </c>
      <c r="B21" s="1">
        <v>11.335767756404501</v>
      </c>
      <c r="C21" s="1">
        <v>1.1297718137100801</v>
      </c>
      <c r="D21" s="1">
        <v>-4.1564430320201002E-3</v>
      </c>
      <c r="E21" s="1">
        <v>2.1015748427013001</v>
      </c>
      <c r="F21" s="1">
        <v>41.653498650718603</v>
      </c>
      <c r="G21" s="1">
        <v>2.2873004957014E-3</v>
      </c>
      <c r="H21" s="1">
        <v>5.8671660122002797E-2</v>
      </c>
    </row>
    <row r="22" spans="1:8" ht="43.5" x14ac:dyDescent="0.35">
      <c r="A22" s="1" t="s">
        <v>28</v>
      </c>
      <c r="B22" s="1">
        <v>11.2169543924379</v>
      </c>
      <c r="C22" s="1">
        <v>1.1293556559911</v>
      </c>
      <c r="D22" s="1">
        <v>-4.11400368431151E-3</v>
      </c>
      <c r="E22" s="1">
        <v>2.1014127378726699</v>
      </c>
      <c r="F22" s="1">
        <v>44.471917998964202</v>
      </c>
      <c r="G22" s="1">
        <v>2.2873004957014E-3</v>
      </c>
      <c r="H22" s="1">
        <v>5.89691069303468E-2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9B09-0597-442B-9E81-527CD187BB1B}">
  <dimension ref="A1:D22"/>
  <sheetViews>
    <sheetView tabSelected="1" workbookViewId="0">
      <selection activeCell="W5" sqref="W5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0</v>
      </c>
      <c r="D1" s="1" t="s">
        <v>1</v>
      </c>
    </row>
    <row r="2" spans="1:4" ht="43.5" x14ac:dyDescent="0.35">
      <c r="A2" s="1" t="s">
        <v>8</v>
      </c>
      <c r="B2" s="1">
        <v>0.21555583151480401</v>
      </c>
      <c r="C2" s="1" t="s">
        <v>8</v>
      </c>
      <c r="D2" s="1">
        <v>11.1770115437445</v>
      </c>
    </row>
    <row r="3" spans="1:4" ht="43.5" x14ac:dyDescent="0.35">
      <c r="A3" s="1" t="s">
        <v>9</v>
      </c>
      <c r="B3" s="1">
        <v>0.20952097494967001</v>
      </c>
      <c r="C3" s="1" t="s">
        <v>9</v>
      </c>
      <c r="D3" s="1">
        <v>11.329302054832899</v>
      </c>
    </row>
    <row r="4" spans="1:4" ht="43.5" x14ac:dyDescent="0.35">
      <c r="A4" s="1" t="s">
        <v>10</v>
      </c>
      <c r="B4" s="1">
        <v>0.20662316739085199</v>
      </c>
      <c r="C4" s="1" t="s">
        <v>10</v>
      </c>
      <c r="D4" s="1">
        <v>11.3600930964895</v>
      </c>
    </row>
    <row r="5" spans="1:4" ht="43.5" x14ac:dyDescent="0.35">
      <c r="A5" s="1" t="s">
        <v>11</v>
      </c>
      <c r="B5" s="1">
        <v>0.20770262378267801</v>
      </c>
      <c r="C5" s="1" t="s">
        <v>11</v>
      </c>
      <c r="D5" s="1">
        <v>11.3608067417883</v>
      </c>
    </row>
    <row r="6" spans="1:4" ht="43.5" x14ac:dyDescent="0.35">
      <c r="A6" s="1" t="s">
        <v>12</v>
      </c>
      <c r="B6" s="1">
        <v>0.209595431054375</v>
      </c>
      <c r="C6" s="1" t="s">
        <v>12</v>
      </c>
      <c r="D6" s="1">
        <v>11.2077787773182</v>
      </c>
    </row>
    <row r="7" spans="1:4" ht="43.5" x14ac:dyDescent="0.35">
      <c r="A7" s="1" t="s">
        <v>13</v>
      </c>
      <c r="B7" s="1">
        <v>0.20538693458861701</v>
      </c>
      <c r="C7" s="1" t="s">
        <v>13</v>
      </c>
      <c r="D7" s="1">
        <v>11.3591768457862</v>
      </c>
    </row>
    <row r="8" spans="1:4" ht="43.5" x14ac:dyDescent="0.35">
      <c r="A8" s="1" t="s">
        <v>14</v>
      </c>
      <c r="B8" s="1">
        <v>0.20579809973947</v>
      </c>
      <c r="C8" s="1" t="s">
        <v>14</v>
      </c>
      <c r="D8" s="1">
        <v>11.3151694371932</v>
      </c>
    </row>
    <row r="9" spans="1:4" ht="43.5" x14ac:dyDescent="0.35">
      <c r="A9" s="1" t="s">
        <v>15</v>
      </c>
      <c r="B9" s="1">
        <v>0.210070324599267</v>
      </c>
      <c r="C9" s="1" t="s">
        <v>15</v>
      </c>
      <c r="D9" s="1">
        <v>11.3416526476838</v>
      </c>
    </row>
    <row r="10" spans="1:4" ht="43.5" x14ac:dyDescent="0.35">
      <c r="A10" s="1" t="s">
        <v>16</v>
      </c>
      <c r="B10" s="1">
        <v>0.21275673115754801</v>
      </c>
      <c r="C10" s="1" t="s">
        <v>16</v>
      </c>
      <c r="D10" s="1">
        <v>11.2733188316857</v>
      </c>
    </row>
    <row r="11" spans="1:4" ht="43.5" x14ac:dyDescent="0.35">
      <c r="A11" s="1" t="s">
        <v>17</v>
      </c>
      <c r="B11" s="1">
        <v>0.21652324403034801</v>
      </c>
      <c r="C11" s="1" t="s">
        <v>17</v>
      </c>
      <c r="D11" s="1">
        <v>11.3890419779139</v>
      </c>
    </row>
    <row r="12" spans="1:4" ht="43.5" x14ac:dyDescent="0.35">
      <c r="A12" s="1" t="s">
        <v>18</v>
      </c>
      <c r="B12" s="1">
        <v>0.21641690962021001</v>
      </c>
      <c r="C12" s="1" t="s">
        <v>18</v>
      </c>
      <c r="D12" s="1">
        <v>11.293114778862501</v>
      </c>
    </row>
    <row r="13" spans="1:4" ht="43.5" x14ac:dyDescent="0.35">
      <c r="A13" s="1" t="s">
        <v>19</v>
      </c>
      <c r="B13" s="1">
        <v>0.21275343465184901</v>
      </c>
      <c r="C13" s="1" t="s">
        <v>19</v>
      </c>
      <c r="D13" s="1">
        <v>11.283064557196401</v>
      </c>
    </row>
    <row r="14" spans="1:4" ht="43.5" x14ac:dyDescent="0.35">
      <c r="A14" s="1" t="s">
        <v>20</v>
      </c>
      <c r="B14" s="1">
        <v>0.208884934485742</v>
      </c>
      <c r="C14" s="1" t="s">
        <v>20</v>
      </c>
      <c r="D14" s="1">
        <v>11.465869859655999</v>
      </c>
    </row>
    <row r="15" spans="1:4" ht="43.5" x14ac:dyDescent="0.35">
      <c r="A15" s="1" t="s">
        <v>21</v>
      </c>
      <c r="B15" s="1">
        <v>0.21116438224453701</v>
      </c>
      <c r="C15" s="1" t="s">
        <v>21</v>
      </c>
      <c r="D15" s="1">
        <v>11.213397155062999</v>
      </c>
    </row>
    <row r="16" spans="1:4" ht="43.5" x14ac:dyDescent="0.35">
      <c r="A16" s="1" t="s">
        <v>22</v>
      </c>
      <c r="B16" s="1">
        <v>0.21223952305306101</v>
      </c>
      <c r="C16" s="1" t="s">
        <v>22</v>
      </c>
      <c r="D16" s="1">
        <v>11.371341530264001</v>
      </c>
    </row>
    <row r="17" spans="1:4" ht="43.5" x14ac:dyDescent="0.35">
      <c r="A17" s="1" t="s">
        <v>23</v>
      </c>
      <c r="B17" s="1">
        <v>0.21832353710526101</v>
      </c>
      <c r="C17" s="1" t="s">
        <v>23</v>
      </c>
      <c r="D17" s="1">
        <v>11.2500539704759</v>
      </c>
    </row>
    <row r="18" spans="1:4" ht="43.5" x14ac:dyDescent="0.35">
      <c r="A18" s="1" t="s">
        <v>24</v>
      </c>
      <c r="B18" s="1">
        <v>0.20530572750096901</v>
      </c>
      <c r="C18" s="1" t="s">
        <v>24</v>
      </c>
      <c r="D18" s="1">
        <v>11.260353899465199</v>
      </c>
    </row>
    <row r="19" spans="1:4" ht="43.5" x14ac:dyDescent="0.35">
      <c r="A19" s="1" t="s">
        <v>25</v>
      </c>
      <c r="B19" s="1">
        <v>0.21753519420846301</v>
      </c>
      <c r="C19" s="1" t="s">
        <v>25</v>
      </c>
      <c r="D19" s="1">
        <v>11.259822883760901</v>
      </c>
    </row>
    <row r="20" spans="1:4" ht="43.5" x14ac:dyDescent="0.35">
      <c r="A20" s="1" t="s">
        <v>26</v>
      </c>
      <c r="B20" s="1">
        <v>0.21592303126088699</v>
      </c>
      <c r="C20" s="1" t="s">
        <v>26</v>
      </c>
      <c r="D20" s="1">
        <v>11.1846809114396</v>
      </c>
    </row>
    <row r="21" spans="1:4" ht="43.5" x14ac:dyDescent="0.35">
      <c r="A21" s="1" t="s">
        <v>27</v>
      </c>
      <c r="B21" s="1">
        <v>0.211655607306068</v>
      </c>
      <c r="C21" s="1" t="s">
        <v>27</v>
      </c>
      <c r="D21" s="1">
        <v>11.335767756404501</v>
      </c>
    </row>
    <row r="22" spans="1:4" ht="43.5" x14ac:dyDescent="0.35">
      <c r="A22" s="1" t="s">
        <v>28</v>
      </c>
      <c r="B22" s="1">
        <v>0.21236601376132699</v>
      </c>
      <c r="C22" s="1" t="s">
        <v>28</v>
      </c>
      <c r="D22" s="1">
        <v>11.2169543924379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 coeff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2015-06-05T18:17:20Z</dcterms:created>
  <dcterms:modified xsi:type="dcterms:W3CDTF">2026-04-28T14:12:51Z</dcterms:modified>
</cp:coreProperties>
</file>