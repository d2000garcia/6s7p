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BeatnotePostCombFix\Apr29,2026\"/>
    </mc:Choice>
  </mc:AlternateContent>
  <xr:revisionPtr revIDLastSave="0" documentId="13_ncr:1_{991429F9-C345-4CDA-99C3-C0FB6BC25CB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456" sheetId="1" r:id="rId1"/>
    <sheet name="894" sheetId="2" r:id="rId2"/>
    <sheet name="abs coef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2" i="2" l="1"/>
  <c r="P2" i="2"/>
  <c r="O2" i="2"/>
  <c r="T2" i="2"/>
  <c r="R2" i="2"/>
  <c r="S2" i="2"/>
  <c r="U2" i="2"/>
  <c r="P3" i="2"/>
  <c r="Q3" i="2"/>
  <c r="R3" i="2"/>
  <c r="S3" i="2"/>
  <c r="T3" i="2"/>
  <c r="U3" i="2"/>
  <c r="S4" i="2"/>
  <c r="S5" i="2" s="1"/>
  <c r="U4" i="2"/>
  <c r="U5" i="2" s="1"/>
  <c r="O3" i="2"/>
  <c r="P3" i="1"/>
  <c r="Q3" i="1"/>
  <c r="R3" i="1"/>
  <c r="R4" i="1" s="1"/>
  <c r="R5" i="1" s="1"/>
  <c r="S3" i="1"/>
  <c r="S4" i="1" s="1"/>
  <c r="S5" i="1" s="1"/>
  <c r="T3" i="1"/>
  <c r="U3" i="1"/>
  <c r="V3" i="1"/>
  <c r="O3" i="1"/>
  <c r="U2" i="1"/>
  <c r="P2" i="1"/>
  <c r="Q2" i="1"/>
  <c r="R2" i="1"/>
  <c r="S2" i="1"/>
  <c r="T2" i="1"/>
  <c r="V2" i="1"/>
  <c r="O2" i="1"/>
  <c r="R4" i="2" l="1"/>
  <c r="R5" i="2" s="1"/>
  <c r="T4" i="2"/>
  <c r="T5" i="2" s="1"/>
  <c r="P4" i="2"/>
  <c r="P5" i="2" s="1"/>
  <c r="Q4" i="2"/>
  <c r="Q5" i="2" s="1"/>
  <c r="Q4" i="1"/>
  <c r="Q5" i="1" s="1"/>
  <c r="U4" i="1"/>
  <c r="U5" i="1" s="1"/>
  <c r="P4" i="1"/>
  <c r="P5" i="1" s="1"/>
  <c r="O4" i="2"/>
  <c r="O5" i="2" s="1"/>
  <c r="V4" i="1"/>
  <c r="V5" i="1" s="1"/>
  <c r="T4" i="1"/>
  <c r="T5" i="1" s="1"/>
  <c r="O4" i="1"/>
  <c r="O5" i="1" s="1"/>
</calcChain>
</file>

<file path=xl/sharedStrings.xml><?xml version="1.0" encoding="utf-8"?>
<sst xmlns="http://schemas.openxmlformats.org/spreadsheetml/2006/main" count="52" uniqueCount="16">
  <si>
    <t>Date</t>
  </si>
  <si>
    <t>Alpha</t>
  </si>
  <si>
    <t>P0</t>
  </si>
  <si>
    <t>h1</t>
  </si>
  <si>
    <t>mv</t>
  </si>
  <si>
    <t>T</t>
  </si>
  <si>
    <t>gamma</t>
  </si>
  <si>
    <t>offset</t>
  </si>
  <si>
    <t>h2</t>
  </si>
  <si>
    <t>mean</t>
  </si>
  <si>
    <t>std</t>
  </si>
  <si>
    <t>std/mean</t>
  </si>
  <si>
    <t>100*std/mean/sqrt(n)</t>
  </si>
  <si>
    <t>Apr29,2026+4-54-00PM</t>
  </si>
  <si>
    <t>Apr29,2026+6-36-10PM</t>
  </si>
  <si>
    <t>Apr29,2026+6-54-24PM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</si>
</sst>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'456'!$B$1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'456'!$B$2:$B$23</c:f>
              <c:numCache>
                <c:formatCode>General</c:formatCode>
                <c:ptCount val="22"/>
                <c:pt idx="0">
                  <c:v>0.29552266437643498</c:v>
                </c:pt>
                <c:pt idx="1">
                  <c:v>0.29846062644677601</c:v>
                </c:pt>
                <c:pt idx="2">
                  <c:v>0.294871416313228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C8-431E-8F1C-25D49AA62B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9880751"/>
        <c:axId val="1859882191"/>
      </c:scatterChart>
      <c:valAx>
        <c:axId val="1859880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2191"/>
        <c:crosses val="autoZero"/>
        <c:crossBetween val="midCat"/>
      </c:valAx>
      <c:valAx>
        <c:axId val="185988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8807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'894'!$B$1</c:f>
              <c:strCache>
                <c:ptCount val="1"/>
                <c:pt idx="0">
                  <c:v>Alpha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'894'!$B$2:$B$23</c:f>
              <c:numCache>
                <c:formatCode>General</c:formatCode>
                <c:ptCount val="22"/>
                <c:pt idx="0">
                  <c:v>13.8866543806867</c:v>
                </c:pt>
                <c:pt idx="1">
                  <c:v>13.9018573839592</c:v>
                </c:pt>
                <c:pt idx="2">
                  <c:v>13.935510757463399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B5-424C-978D-AF315553FC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7337951"/>
        <c:axId val="1557339391"/>
      </c:scatterChart>
      <c:valAx>
        <c:axId val="15573379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9391"/>
        <c:crosses val="autoZero"/>
        <c:crossBetween val="midCat"/>
      </c:valAx>
      <c:valAx>
        <c:axId val="155733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73379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327025</xdr:colOff>
      <xdr:row>7</xdr:row>
      <xdr:rowOff>187324</xdr:rowOff>
    </xdr:from>
    <xdr:to>
      <xdr:col>24</xdr:col>
      <xdr:colOff>123825</xdr:colOff>
      <xdr:row>17</xdr:row>
      <xdr:rowOff>114299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4D3D36-7D47-2FAB-2A0C-CD1F28800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314325</xdr:colOff>
      <xdr:row>7</xdr:row>
      <xdr:rowOff>3175</xdr:rowOff>
    </xdr:from>
    <xdr:to>
      <xdr:col>23</xdr:col>
      <xdr:colOff>409575</xdr:colOff>
      <xdr:row>20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8738E1-9C0C-6650-AE32-6F446F9BF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workbookViewId="0">
      <selection sqref="A1:B1048576"/>
    </sheetView>
  </sheetViews>
  <sheetFormatPr defaultRowHeight="15" x14ac:dyDescent="0.25"/>
  <cols>
    <col min="15" max="15" width="11.42578125" bestFit="1" customWidth="1"/>
    <col min="21" max="21" width="10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4</v>
      </c>
      <c r="G1" s="1" t="s">
        <v>5</v>
      </c>
      <c r="H1" s="1" t="s">
        <v>6</v>
      </c>
      <c r="I1" s="1" t="s">
        <v>7</v>
      </c>
      <c r="O1" s="1" t="s">
        <v>1</v>
      </c>
      <c r="P1" s="1" t="s">
        <v>2</v>
      </c>
      <c r="Q1" s="1" t="s">
        <v>3</v>
      </c>
      <c r="R1" s="1" t="s">
        <v>8</v>
      </c>
      <c r="S1" s="1" t="s">
        <v>4</v>
      </c>
      <c r="T1" s="1" t="s">
        <v>5</v>
      </c>
      <c r="U1" s="1" t="s">
        <v>6</v>
      </c>
      <c r="V1" s="1" t="s">
        <v>7</v>
      </c>
    </row>
    <row r="2" spans="1:22" ht="45" x14ac:dyDescent="0.25">
      <c r="A2" s="1" t="s">
        <v>13</v>
      </c>
      <c r="B2" s="1">
        <v>0.29552266437643498</v>
      </c>
      <c r="C2" s="1">
        <v>1.3275544540556401</v>
      </c>
      <c r="D2" s="1">
        <v>-2.1994979249657099E-4</v>
      </c>
      <c r="E2" s="2">
        <v>-9.2084722066407203E-5</v>
      </c>
      <c r="F2" s="1">
        <v>2.1891051931406502</v>
      </c>
      <c r="G2" s="1">
        <v>44.6042046762078</v>
      </c>
      <c r="H2" s="1">
        <v>7.5215001461198105E-4</v>
      </c>
      <c r="I2" s="1">
        <v>6.4667047595541099E-3</v>
      </c>
      <c r="N2" t="s">
        <v>9</v>
      </c>
      <c r="O2" s="1">
        <f>AVERAGE(B2:B22)</f>
        <v>0.296284902378813</v>
      </c>
      <c r="P2" s="1">
        <f t="shared" ref="P2:V2" si="0">AVERAGE(C2:C22)</f>
        <v>1.3271234168322434</v>
      </c>
      <c r="Q2" s="1">
        <f t="shared" si="0"/>
        <v>-6.7462681873306E-5</v>
      </c>
      <c r="R2" s="1">
        <f t="shared" si="0"/>
        <v>-9.6697540482928526E-5</v>
      </c>
      <c r="S2" s="1">
        <f t="shared" si="0"/>
        <v>2.7695316266468168</v>
      </c>
      <c r="T2" s="1">
        <f t="shared" si="0"/>
        <v>43.912544141157468</v>
      </c>
      <c r="U2" s="1">
        <f>AVERAGE(H2:H22)</f>
        <v>7.5215001461198105E-4</v>
      </c>
      <c r="V2" s="1">
        <f t="shared" si="0"/>
        <v>6.8716481768366531E-3</v>
      </c>
    </row>
    <row r="3" spans="1:22" ht="45" x14ac:dyDescent="0.25">
      <c r="A3" s="1" t="s">
        <v>14</v>
      </c>
      <c r="B3" s="1">
        <v>0.29846062644677601</v>
      </c>
      <c r="C3" s="1">
        <v>1.3259426436099999</v>
      </c>
      <c r="D3" s="1">
        <v>-1.51854323154502E-4</v>
      </c>
      <c r="E3" s="2">
        <v>-7.15727851265454E-5</v>
      </c>
      <c r="F3" s="1">
        <v>2.9362949363286002</v>
      </c>
      <c r="G3" s="1">
        <v>44.535208122701199</v>
      </c>
      <c r="H3" s="1">
        <v>7.5215001461198105E-4</v>
      </c>
      <c r="I3" s="1">
        <v>7.7075657398777602E-3</v>
      </c>
      <c r="N3" t="s">
        <v>10</v>
      </c>
      <c r="O3" s="1">
        <f>_xlfn.STDEV.S(B2:B22)</f>
        <v>1.9121617151519527E-3</v>
      </c>
      <c r="P3" s="1">
        <f t="shared" ref="P3:V3" si="1">_xlfn.STDEV.S(C2:C22)</f>
        <v>1.0349209047766487E-3</v>
      </c>
      <c r="Q3" s="1">
        <f t="shared" si="1"/>
        <v>2.0794928603890553E-4</v>
      </c>
      <c r="R3" s="1">
        <f t="shared" si="1"/>
        <v>2.7720522355836275E-5</v>
      </c>
      <c r="S3" s="1">
        <f t="shared" si="1"/>
        <v>0.51760121048006624</v>
      </c>
      <c r="T3" s="1">
        <f t="shared" si="1"/>
        <v>1.1387610953528045</v>
      </c>
      <c r="U3" s="1">
        <f t="shared" si="1"/>
        <v>0</v>
      </c>
      <c r="V3" s="1">
        <f t="shared" si="1"/>
        <v>7.2404283634097579E-4</v>
      </c>
    </row>
    <row r="4" spans="1:22" ht="45" x14ac:dyDescent="0.25">
      <c r="A4" s="1" t="s">
        <v>15</v>
      </c>
      <c r="B4" s="1">
        <v>0.294871416313228</v>
      </c>
      <c r="C4" s="1">
        <v>1.3278731528310901</v>
      </c>
      <c r="D4" s="1">
        <v>1.6941607003115501E-4</v>
      </c>
      <c r="E4" s="1">
        <v>-1.26435114255833E-4</v>
      </c>
      <c r="F4" s="1">
        <v>3.1831947504712002</v>
      </c>
      <c r="G4" s="1">
        <v>42.598219624563399</v>
      </c>
      <c r="H4" s="1">
        <v>7.5215001461198105E-4</v>
      </c>
      <c r="I4" s="1">
        <v>6.4406740310780902E-3</v>
      </c>
      <c r="N4" t="s">
        <v>11</v>
      </c>
      <c r="O4" s="1">
        <f>O3/O2</f>
        <v>6.4537939658740077E-3</v>
      </c>
      <c r="P4" s="1">
        <f t="shared" ref="P4:V4" si="2">P3/P2</f>
        <v>7.798226537566017E-4</v>
      </c>
      <c r="Q4" s="1">
        <f t="shared" si="2"/>
        <v>-3.0824343216807102</v>
      </c>
      <c r="R4" s="1">
        <f t="shared" si="2"/>
        <v>-0.28667246568417315</v>
      </c>
      <c r="S4" s="1">
        <f t="shared" si="2"/>
        <v>0.18689124381177291</v>
      </c>
      <c r="T4" s="1">
        <f t="shared" si="2"/>
        <v>2.5932478238843131E-2</v>
      </c>
      <c r="U4" s="1">
        <f t="shared" si="2"/>
        <v>0</v>
      </c>
      <c r="V4" s="1">
        <f t="shared" si="2"/>
        <v>0.10536669190684428</v>
      </c>
    </row>
    <row r="5" spans="1:22" x14ac:dyDescent="0.25">
      <c r="A5" s="1"/>
      <c r="B5" s="1"/>
      <c r="C5" s="1"/>
      <c r="D5" s="1"/>
      <c r="E5" s="1"/>
      <c r="F5" s="1"/>
      <c r="G5" s="1"/>
      <c r="H5" s="1"/>
      <c r="I5" s="1"/>
      <c r="N5" t="s">
        <v>12</v>
      </c>
      <c r="O5" s="1">
        <f>O4/SQRT(COUNT(B2:B22)) * 100</f>
        <v>0.37260996834917409</v>
      </c>
      <c r="P5" s="1">
        <f t="shared" ref="P5:V5" si="3">P4/COUNT(B2:B22) * 100</f>
        <v>2.5994088458553388E-2</v>
      </c>
      <c r="Q5" s="1">
        <f t="shared" si="3"/>
        <v>-102.74781072269035</v>
      </c>
      <c r="R5" s="1">
        <f t="shared" si="3"/>
        <v>-9.5557488561391057</v>
      </c>
      <c r="S5" s="1">
        <f t="shared" si="3"/>
        <v>6.229708127059097</v>
      </c>
      <c r="T5" s="1">
        <f t="shared" si="3"/>
        <v>0.86441594129477106</v>
      </c>
      <c r="U5" s="1">
        <f t="shared" si="3"/>
        <v>0</v>
      </c>
      <c r="V5" s="1">
        <f t="shared" si="3"/>
        <v>3.5122230635614757</v>
      </c>
    </row>
    <row r="6" spans="1:22" x14ac:dyDescent="0.25">
      <c r="A6" s="1"/>
      <c r="B6" s="1"/>
      <c r="C6" s="1"/>
      <c r="D6" s="2"/>
      <c r="E6" s="1"/>
      <c r="F6" s="1"/>
      <c r="G6" s="1"/>
      <c r="H6" s="1"/>
      <c r="I6" s="1"/>
    </row>
    <row r="7" spans="1:22" x14ac:dyDescent="0.25">
      <c r="A7" s="1"/>
      <c r="B7" s="1"/>
      <c r="C7" s="1"/>
      <c r="D7" s="1"/>
      <c r="E7" s="1"/>
      <c r="F7" s="1"/>
      <c r="G7" s="1"/>
      <c r="H7" s="1"/>
      <c r="I7" s="1"/>
    </row>
    <row r="8" spans="1:22" x14ac:dyDescent="0.25">
      <c r="A8" s="1"/>
      <c r="B8" s="1"/>
      <c r="C8" s="1"/>
      <c r="D8" s="1"/>
      <c r="E8" s="1"/>
      <c r="F8" s="1"/>
      <c r="G8" s="1"/>
      <c r="H8" s="1"/>
      <c r="I8" s="1"/>
    </row>
    <row r="9" spans="1:22" x14ac:dyDescent="0.25">
      <c r="A9" s="1"/>
      <c r="B9" s="1"/>
      <c r="C9" s="1"/>
      <c r="D9" s="2"/>
      <c r="E9" s="1"/>
      <c r="F9" s="1"/>
      <c r="G9" s="1"/>
      <c r="H9" s="1"/>
      <c r="I9" s="1"/>
    </row>
    <row r="10" spans="1:22" x14ac:dyDescent="0.25">
      <c r="A10" s="1"/>
      <c r="B10" s="1"/>
      <c r="C10" s="1"/>
      <c r="D10" s="1"/>
      <c r="E10" s="1"/>
      <c r="F10" s="1"/>
      <c r="G10" s="1"/>
      <c r="H10" s="1"/>
      <c r="I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  <c r="I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  <c r="I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  <c r="I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  <c r="I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  <c r="I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25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5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25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25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25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93493-8AF1-41A2-BECD-C23FCCD7B8BC}">
  <dimension ref="A1:V22"/>
  <sheetViews>
    <sheetView workbookViewId="0">
      <selection sqref="A1:B1048576"/>
    </sheetView>
  </sheetViews>
  <sheetFormatPr defaultRowHeight="15" x14ac:dyDescent="0.25"/>
  <cols>
    <col min="15" max="15" width="11.4257812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O1" s="1" t="s">
        <v>1</v>
      </c>
      <c r="P1" s="1" t="s">
        <v>2</v>
      </c>
      <c r="Q1" s="1" t="s">
        <v>3</v>
      </c>
      <c r="R1" s="1" t="s">
        <v>4</v>
      </c>
      <c r="S1" s="1" t="s">
        <v>5</v>
      </c>
      <c r="T1" s="1" t="s">
        <v>6</v>
      </c>
      <c r="U1" s="1" t="s">
        <v>7</v>
      </c>
    </row>
    <row r="2" spans="1:22" ht="45" x14ac:dyDescent="0.25">
      <c r="A2" s="1" t="s">
        <v>13</v>
      </c>
      <c r="B2" s="1">
        <v>13.8866543806867</v>
      </c>
      <c r="C2" s="1">
        <v>1.1418175218479201</v>
      </c>
      <c r="D2" s="1">
        <v>-3.70741721326467E-3</v>
      </c>
      <c r="E2" s="1">
        <v>1.9307127472801799</v>
      </c>
      <c r="F2" s="1">
        <v>42.803960096402399</v>
      </c>
      <c r="G2" s="1">
        <v>2.2873004957014E-3</v>
      </c>
      <c r="H2" s="1">
        <v>6.0051591883119503E-2</v>
      </c>
      <c r="N2" t="s">
        <v>9</v>
      </c>
      <c r="O2" s="1">
        <f>AVERAGE(B2:B22)</f>
        <v>13.908007507369767</v>
      </c>
      <c r="P2" s="1">
        <f>AVERAGE(C2:C22)</f>
        <v>1.1437318658254401</v>
      </c>
      <c r="Q2" s="1">
        <f>AVERAGE(D2:D22)</f>
        <v>-3.6441667985576899E-3</v>
      </c>
      <c r="R2" s="1">
        <f t="shared" ref="R2:U2" si="0">AVERAGE(E2:E22)</f>
        <v>1.9316775804507802</v>
      </c>
      <c r="S2" s="1">
        <f t="shared" si="0"/>
        <v>42.331296334446904</v>
      </c>
      <c r="T2" s="1">
        <f>AVERAGE(G2:G22)</f>
        <v>2.2873004957014E-3</v>
      </c>
      <c r="U2" s="1">
        <f t="shared" si="0"/>
        <v>5.9284294241318904E-2</v>
      </c>
      <c r="V2" s="1"/>
    </row>
    <row r="3" spans="1:22" ht="45" x14ac:dyDescent="0.25">
      <c r="A3" s="1" t="s">
        <v>14</v>
      </c>
      <c r="B3" s="1">
        <v>13.9018573839592</v>
      </c>
      <c r="C3" s="1">
        <v>1.14525847083277</v>
      </c>
      <c r="D3" s="1">
        <v>-3.4213879255211902E-3</v>
      </c>
      <c r="E3" s="1">
        <v>1.9323235164786701</v>
      </c>
      <c r="F3" s="1">
        <v>40.535209333339203</v>
      </c>
      <c r="G3" s="1">
        <v>2.2873004957014E-3</v>
      </c>
      <c r="H3" s="1">
        <v>5.8610852635043502E-2</v>
      </c>
      <c r="N3" t="s">
        <v>10</v>
      </c>
      <c r="O3" s="1">
        <f>_xlfn.STDEV.S(B2:B22)</f>
        <v>2.5002087941022062E-2</v>
      </c>
      <c r="P3" s="1">
        <f t="shared" ref="P3:U3" si="1">_xlfn.STDEV.S(C2:C22)</f>
        <v>1.7529371383018509E-3</v>
      </c>
      <c r="Q3" s="1">
        <f t="shared" si="1"/>
        <v>1.9884714009637058E-4</v>
      </c>
      <c r="R3" s="1">
        <f t="shared" si="1"/>
        <v>8.5141992778097039E-4</v>
      </c>
      <c r="S3" s="1">
        <f t="shared" si="1"/>
        <v>1.6125738149526785</v>
      </c>
      <c r="T3" s="1">
        <f t="shared" si="1"/>
        <v>0</v>
      </c>
      <c r="U3" s="1">
        <f t="shared" si="1"/>
        <v>7.2494076433183901E-4</v>
      </c>
      <c r="V3" s="1"/>
    </row>
    <row r="4" spans="1:22" ht="45" x14ac:dyDescent="0.25">
      <c r="A4" s="1" t="s">
        <v>15</v>
      </c>
      <c r="B4" s="1">
        <v>13.935510757463399</v>
      </c>
      <c r="C4" s="1">
        <v>1.1441196047956299</v>
      </c>
      <c r="D4" s="1">
        <v>-3.80369525688721E-3</v>
      </c>
      <c r="E4" s="1">
        <v>1.9319964775934899</v>
      </c>
      <c r="F4" s="1">
        <v>43.654719573599102</v>
      </c>
      <c r="G4" s="1">
        <v>2.2873004957014E-3</v>
      </c>
      <c r="H4" s="1">
        <v>5.91904382057937E-2</v>
      </c>
      <c r="N4" t="s">
        <v>11</v>
      </c>
      <c r="O4" s="1">
        <f>O3/O2</f>
        <v>1.7976757582114915E-3</v>
      </c>
      <c r="P4" s="1">
        <f t="shared" ref="P4:U4" si="2">P3/P2</f>
        <v>1.5326469347225389E-3</v>
      </c>
      <c r="Q4" s="1">
        <f t="shared" si="2"/>
        <v>-5.4565872279795612E-2</v>
      </c>
      <c r="R4" s="1">
        <f t="shared" si="2"/>
        <v>4.4076710129973206E-4</v>
      </c>
      <c r="S4" s="1">
        <f t="shared" si="2"/>
        <v>3.8094127857843413E-2</v>
      </c>
      <c r="T4" s="1">
        <f t="shared" si="2"/>
        <v>0</v>
      </c>
      <c r="U4" s="1">
        <f t="shared" si="2"/>
        <v>1.222820940367344E-2</v>
      </c>
      <c r="V4" s="1"/>
    </row>
    <row r="5" spans="1:22" x14ac:dyDescent="0.25">
      <c r="A5" s="1"/>
      <c r="B5" s="1"/>
      <c r="C5" s="1"/>
      <c r="D5" s="1"/>
      <c r="E5" s="1"/>
      <c r="F5" s="1"/>
      <c r="G5" s="1"/>
      <c r="H5" s="1"/>
      <c r="N5" t="s">
        <v>12</v>
      </c>
      <c r="O5" s="1">
        <f>O4/SQRT(COUNT(B2:B22)) * 100</f>
        <v>0.10378885829190691</v>
      </c>
      <c r="P5" s="1">
        <f t="shared" ref="P5:U5" si="3">P4/SQRT(COUNT(C2:C22)) * 100</f>
        <v>8.8487412033471269E-2</v>
      </c>
      <c r="Q5" s="1">
        <f t="shared" si="3"/>
        <v>-3.1503621049306734</v>
      </c>
      <c r="R5" s="1">
        <f t="shared" si="3"/>
        <v>2.5447700458533139E-2</v>
      </c>
      <c r="S5" s="1">
        <f t="shared" si="3"/>
        <v>2.1993654973269918</v>
      </c>
      <c r="T5" s="1">
        <f t="shared" si="3"/>
        <v>0</v>
      </c>
      <c r="U5" s="1">
        <f t="shared" si="3"/>
        <v>0.70599599909179744</v>
      </c>
      <c r="V5" s="1"/>
    </row>
    <row r="6" spans="1:22" x14ac:dyDescent="0.25">
      <c r="A6" s="1"/>
      <c r="B6" s="1"/>
      <c r="C6" s="1"/>
      <c r="D6" s="1"/>
      <c r="E6" s="1"/>
      <c r="F6" s="1"/>
      <c r="G6" s="1"/>
      <c r="H6" s="1"/>
    </row>
    <row r="7" spans="1:22" x14ac:dyDescent="0.25">
      <c r="A7" s="1"/>
      <c r="B7" s="1"/>
      <c r="C7" s="1"/>
      <c r="D7" s="1"/>
      <c r="E7" s="1"/>
      <c r="F7" s="1"/>
      <c r="G7" s="1"/>
      <c r="H7" s="1"/>
    </row>
    <row r="8" spans="1:22" x14ac:dyDescent="0.25">
      <c r="A8" s="1"/>
      <c r="B8" s="1"/>
      <c r="C8" s="1"/>
      <c r="D8" s="1"/>
      <c r="E8" s="1"/>
      <c r="F8" s="1"/>
      <c r="G8" s="1"/>
      <c r="H8" s="1"/>
    </row>
    <row r="9" spans="1:22" x14ac:dyDescent="0.25">
      <c r="A9" s="1"/>
      <c r="B9" s="1"/>
      <c r="C9" s="1"/>
      <c r="D9" s="1"/>
      <c r="E9" s="1"/>
      <c r="F9" s="1"/>
      <c r="G9" s="1"/>
      <c r="H9" s="1"/>
    </row>
    <row r="10" spans="1:22" x14ac:dyDescent="0.25">
      <c r="A10" s="1"/>
      <c r="B10" s="1"/>
      <c r="C10" s="1"/>
      <c r="D10" s="1"/>
      <c r="E10" s="1"/>
      <c r="F10" s="1"/>
      <c r="G10" s="1"/>
      <c r="H10" s="1"/>
    </row>
    <row r="11" spans="1:22" x14ac:dyDescent="0.25">
      <c r="A11" s="1"/>
      <c r="B11" s="1"/>
      <c r="C11" s="1"/>
      <c r="D11" s="1"/>
      <c r="E11" s="1"/>
      <c r="F11" s="1"/>
      <c r="G11" s="1"/>
      <c r="H11" s="1"/>
    </row>
    <row r="12" spans="1:22" x14ac:dyDescent="0.25">
      <c r="A12" s="1"/>
      <c r="B12" s="1"/>
      <c r="C12" s="1"/>
      <c r="D12" s="1"/>
      <c r="E12" s="1"/>
      <c r="F12" s="1"/>
      <c r="G12" s="1"/>
      <c r="H12" s="1"/>
    </row>
    <row r="13" spans="1:22" x14ac:dyDescent="0.25">
      <c r="A13" s="1"/>
      <c r="B13" s="1"/>
      <c r="C13" s="1"/>
      <c r="D13" s="1"/>
      <c r="E13" s="1"/>
      <c r="F13" s="1"/>
      <c r="G13" s="1"/>
      <c r="H13" s="1"/>
    </row>
    <row r="14" spans="1:22" x14ac:dyDescent="0.25">
      <c r="A14" s="1"/>
      <c r="B14" s="1"/>
      <c r="C14" s="1"/>
      <c r="D14" s="1"/>
      <c r="E14" s="1"/>
      <c r="F14" s="1"/>
      <c r="G14" s="1"/>
      <c r="H14" s="1"/>
    </row>
    <row r="15" spans="1:22" x14ac:dyDescent="0.25">
      <c r="A15" s="1"/>
      <c r="B15" s="1"/>
      <c r="C15" s="1"/>
      <c r="D15" s="1"/>
      <c r="E15" s="1"/>
      <c r="F15" s="1"/>
      <c r="G15" s="1"/>
      <c r="H15" s="1"/>
    </row>
    <row r="16" spans="1:22" x14ac:dyDescent="0.25">
      <c r="A16" s="1"/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/>
      <c r="B18" s="1"/>
      <c r="C18" s="1"/>
      <c r="D18" s="1"/>
      <c r="E18" s="1"/>
      <c r="F18" s="1"/>
      <c r="G18" s="1"/>
      <c r="H18" s="1"/>
    </row>
    <row r="19" spans="1:8" x14ac:dyDescent="0.25">
      <c r="A19" s="1"/>
      <c r="B19" s="1"/>
      <c r="C19" s="1"/>
      <c r="D19" s="1"/>
      <c r="E19" s="1"/>
      <c r="F19" s="1"/>
      <c r="G19" s="1"/>
      <c r="H19" s="1"/>
    </row>
    <row r="20" spans="1:8" x14ac:dyDescent="0.25">
      <c r="A20" s="1"/>
      <c r="B20" s="1"/>
      <c r="C20" s="1"/>
      <c r="D20" s="1"/>
      <c r="E20" s="1"/>
      <c r="F20" s="1"/>
      <c r="G20" s="1"/>
      <c r="H20" s="1"/>
    </row>
    <row r="21" spans="1:8" x14ac:dyDescent="0.25">
      <c r="A21" s="1"/>
      <c r="B21" s="1"/>
      <c r="C21" s="1"/>
      <c r="D21" s="1"/>
      <c r="E21" s="1"/>
      <c r="F21" s="1"/>
      <c r="G21" s="1"/>
      <c r="H21" s="1"/>
    </row>
    <row r="22" spans="1:8" x14ac:dyDescent="0.25">
      <c r="A22" s="1"/>
      <c r="B22" s="1"/>
      <c r="C22" s="1"/>
      <c r="D22" s="1"/>
      <c r="E22" s="1"/>
      <c r="F22" s="1"/>
      <c r="G22" s="1"/>
      <c r="H22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49B09-0597-442B-9E81-527CD187BB1B}">
  <dimension ref="A1:C22"/>
  <sheetViews>
    <sheetView tabSelected="1" workbookViewId="0">
      <selection activeCell="G4" sqref="G4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1</v>
      </c>
    </row>
    <row r="2" spans="1:3" ht="45" x14ac:dyDescent="0.25">
      <c r="A2" s="1" t="s">
        <v>13</v>
      </c>
      <c r="B2" s="1">
        <v>0.29552266437643498</v>
      </c>
      <c r="C2" s="1">
        <v>13.8866543806867</v>
      </c>
    </row>
    <row r="3" spans="1:3" ht="45" x14ac:dyDescent="0.25">
      <c r="A3" s="1" t="s">
        <v>14</v>
      </c>
      <c r="B3" s="1">
        <v>0.29846062644677601</v>
      </c>
      <c r="C3" s="1">
        <v>13.9018573839592</v>
      </c>
    </row>
    <row r="4" spans="1:3" ht="45" x14ac:dyDescent="0.25">
      <c r="A4" s="1" t="s">
        <v>15</v>
      </c>
      <c r="B4" s="1">
        <v>0.294871416313228</v>
      </c>
      <c r="C4" s="1">
        <v>13.935510757463399</v>
      </c>
    </row>
    <row r="5" spans="1:3" x14ac:dyDescent="0.25">
      <c r="A5" s="1"/>
      <c r="B5" s="1"/>
      <c r="C5" s="1"/>
    </row>
    <row r="6" spans="1:3" x14ac:dyDescent="0.25">
      <c r="A6" s="1"/>
      <c r="B6" s="1"/>
      <c r="C6" s="1"/>
    </row>
    <row r="7" spans="1:3" x14ac:dyDescent="0.25">
      <c r="A7" s="1"/>
      <c r="B7" s="1"/>
      <c r="C7" s="1"/>
    </row>
    <row r="8" spans="1:3" x14ac:dyDescent="0.25">
      <c r="A8" s="1"/>
      <c r="B8" s="1"/>
      <c r="C8" s="1"/>
    </row>
    <row r="9" spans="1:3" x14ac:dyDescent="0.25">
      <c r="A9" s="1"/>
      <c r="B9" s="1"/>
      <c r="C9" s="1"/>
    </row>
    <row r="10" spans="1:3" x14ac:dyDescent="0.25">
      <c r="A10" s="1"/>
      <c r="B10" s="1"/>
      <c r="C10" s="1"/>
    </row>
    <row r="11" spans="1:3" x14ac:dyDescent="0.25">
      <c r="A11" s="1"/>
      <c r="B11" s="1"/>
      <c r="C11" s="1"/>
    </row>
    <row r="12" spans="1:3" x14ac:dyDescent="0.25">
      <c r="A12" s="1"/>
      <c r="B12" s="1"/>
      <c r="C12" s="1"/>
    </row>
    <row r="13" spans="1:3" x14ac:dyDescent="0.25">
      <c r="A13" s="1"/>
      <c r="B13" s="1"/>
      <c r="C13" s="1"/>
    </row>
    <row r="14" spans="1:3" x14ac:dyDescent="0.25">
      <c r="A14" s="1"/>
      <c r="B14" s="1"/>
      <c r="C14" s="1"/>
    </row>
    <row r="15" spans="1:3" x14ac:dyDescent="0.25">
      <c r="A15" s="1"/>
      <c r="B15" s="1"/>
      <c r="C15" s="1"/>
    </row>
    <row r="16" spans="1:3" x14ac:dyDescent="0.25">
      <c r="A16" s="1"/>
      <c r="B16" s="1"/>
      <c r="C16" s="1"/>
    </row>
    <row r="17" spans="1:3" x14ac:dyDescent="0.25">
      <c r="A17" s="1"/>
      <c r="B17" s="1"/>
      <c r="C17" s="1"/>
    </row>
    <row r="18" spans="1:3" x14ac:dyDescent="0.25">
      <c r="A18" s="1"/>
      <c r="B18" s="1"/>
      <c r="C18" s="1"/>
    </row>
    <row r="19" spans="1:3" x14ac:dyDescent="0.25">
      <c r="A19" s="1"/>
      <c r="B19" s="1"/>
      <c r="C19" s="1"/>
    </row>
    <row r="20" spans="1:3" x14ac:dyDescent="0.25">
      <c r="A20" s="1"/>
      <c r="B20" s="1"/>
      <c r="C20" s="1"/>
    </row>
    <row r="21" spans="1:3" x14ac:dyDescent="0.25">
      <c r="A21" s="1"/>
      <c r="B21" s="1"/>
      <c r="C21" s="1"/>
    </row>
    <row r="22" spans="1:3" x14ac:dyDescent="0.25">
      <c r="A22" s="1"/>
      <c r="B22" s="1"/>
      <c r="C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456</vt:lpstr>
      <vt:lpstr>894</vt:lpstr>
      <vt:lpstr>abs coeff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Garcia</dc:creator>
  <cp:lastModifiedBy>Diego Esteban Garcia</cp:lastModifiedBy>
  <dcterms:created xsi:type="dcterms:W3CDTF">2015-06-05T18:17:20Z</dcterms:created>
  <dcterms:modified xsi:type="dcterms:W3CDTF">2026-05-05T15:57:46Z</dcterms:modified>
</cp:coreProperties>
</file>