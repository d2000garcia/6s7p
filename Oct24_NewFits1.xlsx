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walker\Documents\git\6s7p\"/>
    </mc:Choice>
  </mc:AlternateContent>
  <xr:revisionPtr revIDLastSave="0" documentId="13_ncr:1_{E125CB91-4D0B-4E7D-85F6-704D1949FB0E}" xr6:coauthVersionLast="47" xr6:coauthVersionMax="47" xr10:uidLastSave="{00000000-0000-0000-0000-000000000000}"/>
  <bookViews>
    <workbookView xWindow="-110" yWindow="-110" windowWidth="38620" windowHeight="21100" xr2:uid="{37B0FD4D-535B-4D5F-932F-126FBFC167C9}"/>
  </bookViews>
  <sheets>
    <sheet name="456 " sheetId="1" r:id="rId1"/>
    <sheet name="89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3" i="1"/>
  <c r="O2" i="1"/>
  <c r="N3" i="1"/>
  <c r="N4" i="1" s="1"/>
  <c r="N2" i="1"/>
</calcChain>
</file>

<file path=xl/sharedStrings.xml><?xml version="1.0" encoding="utf-8"?>
<sst xmlns="http://schemas.openxmlformats.org/spreadsheetml/2006/main" count="64" uniqueCount="33">
  <si>
    <t>Date</t>
  </si>
  <si>
    <t>Alpha</t>
  </si>
  <si>
    <t>P0</t>
  </si>
  <si>
    <t>h1</t>
  </si>
  <si>
    <t>mv</t>
  </si>
  <si>
    <t>T</t>
  </si>
  <si>
    <t>gamma</t>
  </si>
  <si>
    <t>offset</t>
  </si>
  <si>
    <t>Oct24,2025+2-48-08PM</t>
  </si>
  <si>
    <t>Oct24,2025+3-08-58PM</t>
  </si>
  <si>
    <t>Oct24,2025+3-17-56PM</t>
  </si>
  <si>
    <t>Oct24,2025+3-26-38PM</t>
  </si>
  <si>
    <t>Oct24,2025+3-34-18PM</t>
  </si>
  <si>
    <t>Oct24,2025+3-42-23PM</t>
  </si>
  <si>
    <t>Oct24,2025+3-51-53PM</t>
  </si>
  <si>
    <t>Oct24,2025+5-02-20PM</t>
  </si>
  <si>
    <t>Oct24,2025+5-09-54PM</t>
  </si>
  <si>
    <t>Oct24,2025+5-17-28PM</t>
  </si>
  <si>
    <t>Oct24,2025+5-25-01PM</t>
  </si>
  <si>
    <t>Oct24,2025+5-32-34PM</t>
  </si>
  <si>
    <t>Oct24,2025+5-39-55PM</t>
  </si>
  <si>
    <t>Oct24,2025+5-47-17PM</t>
  </si>
  <si>
    <t>Oct24,2025+5-54-40PM</t>
  </si>
  <si>
    <t>Oct24,2025+6-02-02PM</t>
  </si>
  <si>
    <t>Oct24,2025+6-09-24PM</t>
  </si>
  <si>
    <t>Oct24,2025+6-16-46PM</t>
  </si>
  <si>
    <t>Oct24,2025+6-24-07P</t>
  </si>
  <si>
    <t>Oct24,2025+6-31-29PM</t>
  </si>
  <si>
    <t>Oct24,2025+6-38-51PM</t>
  </si>
  <si>
    <t>Oct24,2025+6-46-13PM</t>
  </si>
  <si>
    <t>Using ampgo</t>
  </si>
  <si>
    <t>456 has base and gamma fixed</t>
  </si>
  <si>
    <t>894 varies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</si>
</sst>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 456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 '!$B$1</c:f>
              <c:strCache>
                <c:ptCount val="1"/>
                <c:pt idx="0">
                  <c:v>Alpha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 '!$B$2:$B$23</c:f>
              <c:numCache>
                <c:formatCode>General</c:formatCode>
                <c:ptCount val="22"/>
                <c:pt idx="0">
                  <c:v>0.165362676896668</c:v>
                </c:pt>
                <c:pt idx="1">
                  <c:v>0.160975974119246</c:v>
                </c:pt>
                <c:pt idx="2">
                  <c:v>0.16321631235234299</c:v>
                </c:pt>
                <c:pt idx="3">
                  <c:v>0.155818066157418</c:v>
                </c:pt>
                <c:pt idx="4">
                  <c:v>0.160233900624527</c:v>
                </c:pt>
                <c:pt idx="5">
                  <c:v>0.15788356942443901</c:v>
                </c:pt>
                <c:pt idx="6">
                  <c:v>0.16065271309326501</c:v>
                </c:pt>
                <c:pt idx="7">
                  <c:v>0.15684135881043801</c:v>
                </c:pt>
                <c:pt idx="8">
                  <c:v>0.15962935141940701</c:v>
                </c:pt>
                <c:pt idx="9">
                  <c:v>0.156919397100484</c:v>
                </c:pt>
                <c:pt idx="10">
                  <c:v>0.155597745068217</c:v>
                </c:pt>
                <c:pt idx="11">
                  <c:v>0.15885224249518401</c:v>
                </c:pt>
                <c:pt idx="12">
                  <c:v>0.16383545771243299</c:v>
                </c:pt>
                <c:pt idx="13">
                  <c:v>0.153020070696018</c:v>
                </c:pt>
                <c:pt idx="14">
                  <c:v>0.152339554657582</c:v>
                </c:pt>
                <c:pt idx="15">
                  <c:v>0.15842085583787599</c:v>
                </c:pt>
                <c:pt idx="16">
                  <c:v>0.159952903318232</c:v>
                </c:pt>
                <c:pt idx="17">
                  <c:v>0.157185683211093</c:v>
                </c:pt>
                <c:pt idx="18">
                  <c:v>0.156315106075467</c:v>
                </c:pt>
                <c:pt idx="19">
                  <c:v>0.16077822199891501</c:v>
                </c:pt>
                <c:pt idx="20">
                  <c:v>0.15501070166050401</c:v>
                </c:pt>
                <c:pt idx="21">
                  <c:v>0.15242906281287899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D3-4633-A00A-3AE316105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797055"/>
        <c:axId val="1389794175"/>
      </c:scatterChart>
      <c:valAx>
        <c:axId val="138979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794175"/>
        <c:crosses val="autoZero"/>
        <c:crossBetween val="midCat"/>
      </c:valAx>
      <c:valAx>
        <c:axId val="138979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797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 894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 '!$K$1</c:f>
              <c:strCache>
                <c:ptCount val="1"/>
                <c:pt idx="0">
                  <c:v>Alpha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 '!$K$2:$K$23</c:f>
              <c:numCache>
                <c:formatCode>General</c:formatCode>
                <c:ptCount val="22"/>
                <c:pt idx="0">
                  <c:v>6.4122292632177098</c:v>
                </c:pt>
                <c:pt idx="1">
                  <c:v>6.4661596754486697</c:v>
                </c:pt>
                <c:pt idx="2">
                  <c:v>6.4600318839352102</c:v>
                </c:pt>
                <c:pt idx="3">
                  <c:v>6.4125802051500802</c:v>
                </c:pt>
                <c:pt idx="4">
                  <c:v>6.4435972188854196</c:v>
                </c:pt>
                <c:pt idx="5">
                  <c:v>6.4421214254354497</c:v>
                </c:pt>
                <c:pt idx="6">
                  <c:v>6.4170445433537999</c:v>
                </c:pt>
                <c:pt idx="7">
                  <c:v>6.4114822476794604</c:v>
                </c:pt>
                <c:pt idx="8">
                  <c:v>6.4479353517797096</c:v>
                </c:pt>
                <c:pt idx="9">
                  <c:v>6.4380378561405101</c:v>
                </c:pt>
                <c:pt idx="10">
                  <c:v>6.4622234638598002</c:v>
                </c:pt>
                <c:pt idx="11">
                  <c:v>6.4869972189926104</c:v>
                </c:pt>
                <c:pt idx="12">
                  <c:v>6.4795282774672396</c:v>
                </c:pt>
                <c:pt idx="13">
                  <c:v>6.4477174597587803</c:v>
                </c:pt>
                <c:pt idx="14">
                  <c:v>6.4539491257087001</c:v>
                </c:pt>
                <c:pt idx="15">
                  <c:v>6.4664010147030302</c:v>
                </c:pt>
                <c:pt idx="16">
                  <c:v>6.4113911234460499</c:v>
                </c:pt>
                <c:pt idx="17">
                  <c:v>6.3753863224383798</c:v>
                </c:pt>
                <c:pt idx="18">
                  <c:v>6.4019588637249996</c:v>
                </c:pt>
                <c:pt idx="19">
                  <c:v>6.4867824804597802</c:v>
                </c:pt>
                <c:pt idx="20">
                  <c:v>6.4567230138404801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A4-493C-9800-A363C620F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115887"/>
        <c:axId val="1399116367"/>
      </c:scatterChart>
      <c:valAx>
        <c:axId val="139911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116367"/>
        <c:crosses val="autoZero"/>
        <c:crossBetween val="midCat"/>
      </c:valAx>
      <c:valAx>
        <c:axId val="139911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115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'894'!$B$1</c:f>
              <c:strCache>
                <c:ptCount val="1"/>
                <c:pt idx="0">
                  <c:v>Alpha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'894'!$B$2:$B$22</c:f>
              <c:numCache>
                <c:formatCode>General</c:formatCode>
                <c:ptCount val="21"/>
                <c:pt idx="0">
                  <c:v>6.4122292632177098</c:v>
                </c:pt>
                <c:pt idx="1">
                  <c:v>6.4661596754486697</c:v>
                </c:pt>
                <c:pt idx="2">
                  <c:v>6.4600318839352102</c:v>
                </c:pt>
                <c:pt idx="3">
                  <c:v>6.4125802051500802</c:v>
                </c:pt>
                <c:pt idx="4">
                  <c:v>6.4435972188854196</c:v>
                </c:pt>
                <c:pt idx="5">
                  <c:v>6.4421214254354497</c:v>
                </c:pt>
                <c:pt idx="6">
                  <c:v>6.4170445433537999</c:v>
                </c:pt>
                <c:pt idx="7">
                  <c:v>6.4114822476794604</c:v>
                </c:pt>
                <c:pt idx="8">
                  <c:v>6.4479353517797096</c:v>
                </c:pt>
                <c:pt idx="9">
                  <c:v>6.4380378561405101</c:v>
                </c:pt>
                <c:pt idx="10">
                  <c:v>6.4622234638598002</c:v>
                </c:pt>
                <c:pt idx="11">
                  <c:v>6.4869972189926104</c:v>
                </c:pt>
                <c:pt idx="12">
                  <c:v>6.4795282774672396</c:v>
                </c:pt>
                <c:pt idx="13">
                  <c:v>6.4477174597587803</c:v>
                </c:pt>
                <c:pt idx="14">
                  <c:v>6.4539491257087001</c:v>
                </c:pt>
                <c:pt idx="15">
                  <c:v>6.4664010147030302</c:v>
                </c:pt>
                <c:pt idx="16">
                  <c:v>6.4113911234460499</c:v>
                </c:pt>
                <c:pt idx="17">
                  <c:v>6.3753863224383798</c:v>
                </c:pt>
                <c:pt idx="18">
                  <c:v>6.4019588637249996</c:v>
                </c:pt>
                <c:pt idx="19">
                  <c:v>6.4867824804597802</c:v>
                </c:pt>
                <c:pt idx="20">
                  <c:v>6.4567230138404801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BD-42BF-B182-DD71770E9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430831"/>
        <c:axId val="1396429871"/>
      </c:scatterChart>
      <c:valAx>
        <c:axId val="139643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29871"/>
        <c:crosses val="autoZero"/>
        <c:crossBetween val="midCat"/>
      </c:valAx>
      <c:valAx>
        <c:axId val="139642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3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390525</xdr:colOff>
      <xdr:row>4</xdr:row>
      <xdr:rowOff>425450</xdr:rowOff>
    </xdr:from>
    <xdr:to>
      <xdr:col>30</xdr:col>
      <xdr:colOff>85725</xdr:colOff>
      <xdr:row>9</xdr:row>
      <xdr:rowOff>406400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62654-E5B6-AE15-105D-6721C5BD0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485775</xdr:colOff>
      <xdr:row>10</xdr:row>
      <xdr:rowOff>85725</xdr:rowOff>
    </xdr:from>
    <xdr:to>
      <xdr:col>30</xdr:col>
      <xdr:colOff>180975</xdr:colOff>
      <xdr:row>15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4ECE7B-5F25-954A-C859-BC8BC087D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536575</xdr:colOff>
      <xdr:row>7</xdr:row>
      <xdr:rowOff>381000</xdr:rowOff>
    </xdr:from>
    <xdr:to>
      <xdr:col>23</xdr:col>
      <xdr:colOff>231775</xdr:colOff>
      <xdr:row>12</xdr:row>
      <xdr:rowOff>361950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80368-0D8C-EFEE-1FA0-5DECB27E2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1A00-2E3D-4B5E-B401-9908472D52A2}">
  <dimension ref="A1:R23"/>
  <sheetViews>
    <sheetView tabSelected="1" workbookViewId="0">
      <selection activeCell="AG13" sqref="AG13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1</v>
      </c>
      <c r="L1" s="1" t="s">
        <v>1</v>
      </c>
      <c r="N1">
        <v>894</v>
      </c>
      <c r="O1">
        <v>456</v>
      </c>
      <c r="R1" t="s">
        <v>30</v>
      </c>
    </row>
    <row r="2" spans="1:18" ht="43.5" x14ac:dyDescent="0.35">
      <c r="A2" s="1" t="s">
        <v>8</v>
      </c>
      <c r="B2" s="1">
        <v>0.165362676896668</v>
      </c>
      <c r="C2" s="1">
        <v>0.368383293724179</v>
      </c>
      <c r="D2" s="2">
        <v>-9.4350080303758993E-5</v>
      </c>
      <c r="E2" s="1">
        <v>1.7828774150131199</v>
      </c>
      <c r="F2" s="1">
        <v>36.5943593187327</v>
      </c>
      <c r="G2" s="1">
        <v>6.9429232118029005E-4</v>
      </c>
      <c r="H2" s="1">
        <v>2.97020478697708E-3</v>
      </c>
      <c r="K2" s="1">
        <v>6.4122292632177098</v>
      </c>
      <c r="L2" s="1">
        <v>0.16533733792695701</v>
      </c>
      <c r="N2">
        <f>_xlfn.STDEV.S(K2:K22)</f>
        <v>3.0067362248501411E-2</v>
      </c>
      <c r="O2">
        <f>_xlfn.STDEV.S(L2:L22)</f>
        <v>3.3741997621943268E-3</v>
      </c>
      <c r="R2" t="s">
        <v>31</v>
      </c>
    </row>
    <row r="3" spans="1:18" ht="43.5" x14ac:dyDescent="0.35">
      <c r="A3" s="1" t="s">
        <v>9</v>
      </c>
      <c r="B3" s="1">
        <v>0.160975974119246</v>
      </c>
      <c r="C3" s="1">
        <v>0.36797981675003899</v>
      </c>
      <c r="D3" s="1">
        <v>-1.14336983281712E-4</v>
      </c>
      <c r="E3" s="1">
        <v>1.2350050796701799</v>
      </c>
      <c r="F3" s="1">
        <v>32.638454716015097</v>
      </c>
      <c r="G3" s="1">
        <v>6.9429232118029005E-4</v>
      </c>
      <c r="H3" s="1">
        <v>2.9673428579921899E-3</v>
      </c>
      <c r="K3" s="1">
        <v>6.4661596754486697</v>
      </c>
      <c r="L3" s="1">
        <v>0.16094921528127701</v>
      </c>
      <c r="N3">
        <f>AVERAGE(K2:K22)</f>
        <v>6.4419180016869451</v>
      </c>
      <c r="O3">
        <f>AVERAGE(L2:L22)</f>
        <v>0.15851379832962267</v>
      </c>
      <c r="R3" t="s">
        <v>32</v>
      </c>
    </row>
    <row r="4" spans="1:18" ht="43.5" x14ac:dyDescent="0.35">
      <c r="A4" s="1" t="s">
        <v>10</v>
      </c>
      <c r="B4" s="1">
        <v>0.16321631235234299</v>
      </c>
      <c r="C4" s="1">
        <v>0.36802256507410502</v>
      </c>
      <c r="D4" s="2">
        <v>-9.4176153294405301E-5</v>
      </c>
      <c r="E4" s="1">
        <v>1.78897464051443</v>
      </c>
      <c r="F4" s="1">
        <v>36.356131076989897</v>
      </c>
      <c r="G4" s="1">
        <v>6.9429232118029005E-4</v>
      </c>
      <c r="H4" s="1">
        <v>2.96703262397217E-3</v>
      </c>
      <c r="K4" s="1">
        <v>6.4600318839352102</v>
      </c>
      <c r="L4" s="1">
        <v>0.16321631235234299</v>
      </c>
      <c r="N4">
        <f>N2/N3</f>
        <v>4.6674549785681333E-3</v>
      </c>
      <c r="O4">
        <f>O2/O3</f>
        <v>2.1286473466352894E-2</v>
      </c>
    </row>
    <row r="5" spans="1:18" ht="43.5" x14ac:dyDescent="0.35">
      <c r="A5" s="1" t="s">
        <v>11</v>
      </c>
      <c r="B5" s="1">
        <v>0.155818066157418</v>
      </c>
      <c r="C5" s="1">
        <v>0.36779423297671798</v>
      </c>
      <c r="D5" s="2">
        <v>-4.1819458276713501E-5</v>
      </c>
      <c r="E5" s="1">
        <v>2.5292998580856301</v>
      </c>
      <c r="F5" s="1">
        <v>18.578757741163098</v>
      </c>
      <c r="G5" s="1">
        <v>6.9429232118029005E-4</v>
      </c>
      <c r="H5" s="1">
        <v>2.9660070659619699E-3</v>
      </c>
      <c r="K5" s="1">
        <v>6.4125802051500802</v>
      </c>
      <c r="L5" s="1">
        <v>0.155818066157418</v>
      </c>
    </row>
    <row r="6" spans="1:18" ht="43.5" x14ac:dyDescent="0.35">
      <c r="A6" s="1" t="s">
        <v>12</v>
      </c>
      <c r="B6" s="1">
        <v>0.160233900624527</v>
      </c>
      <c r="C6" s="1">
        <v>0.368047890257239</v>
      </c>
      <c r="D6" s="2">
        <v>-9.5076167226386705E-5</v>
      </c>
      <c r="E6" s="1">
        <v>2.2824348543416302</v>
      </c>
      <c r="F6" s="1">
        <v>35.125163382345399</v>
      </c>
      <c r="G6" s="1">
        <v>6.9429232118029005E-4</v>
      </c>
      <c r="H6" s="1">
        <v>2.96718430475713E-3</v>
      </c>
      <c r="K6" s="1">
        <v>6.4435972188854196</v>
      </c>
      <c r="L6" s="1">
        <v>0.160233900624527</v>
      </c>
    </row>
    <row r="7" spans="1:18" ht="43.5" x14ac:dyDescent="0.35">
      <c r="A7" s="1" t="s">
        <v>13</v>
      </c>
      <c r="B7" s="1">
        <v>0.15788356942443901</v>
      </c>
      <c r="C7" s="1">
        <v>0.36790856238610098</v>
      </c>
      <c r="D7" s="2">
        <v>-4.7898888893594603E-5</v>
      </c>
      <c r="E7" s="1">
        <v>2.5318593780928</v>
      </c>
      <c r="F7" s="1">
        <v>32.235585222196796</v>
      </c>
      <c r="G7" s="1">
        <v>6.9429232118029005E-4</v>
      </c>
      <c r="H7" s="1">
        <v>2.96713214334905E-3</v>
      </c>
      <c r="K7" s="1">
        <v>6.4421214254354497</v>
      </c>
      <c r="L7" s="1">
        <v>0.15788356942443901</v>
      </c>
    </row>
    <row r="8" spans="1:18" ht="43.5" x14ac:dyDescent="0.35">
      <c r="A8" s="1" t="s">
        <v>14</v>
      </c>
      <c r="B8" s="1">
        <v>0.16065271309326501</v>
      </c>
      <c r="C8" s="1">
        <v>0.36769840606812398</v>
      </c>
      <c r="D8" s="2">
        <v>-7.1560565963215894E-5</v>
      </c>
      <c r="E8" s="1">
        <v>2.5385538031141399</v>
      </c>
      <c r="F8" s="1">
        <v>29.845428728749699</v>
      </c>
      <c r="G8" s="1">
        <v>6.9429232118029005E-4</v>
      </c>
      <c r="H8" s="1">
        <v>2.9647155772415598E-3</v>
      </c>
      <c r="K8" s="1">
        <v>6.4170445433537999</v>
      </c>
      <c r="L8" s="1">
        <v>0.16065271309326501</v>
      </c>
    </row>
    <row r="9" spans="1:18" ht="43.5" x14ac:dyDescent="0.35">
      <c r="A9" s="1" t="s">
        <v>15</v>
      </c>
      <c r="B9" s="1">
        <v>0.15684135881043801</v>
      </c>
      <c r="C9" s="1">
        <v>0.36757701324501801</v>
      </c>
      <c r="D9" s="2">
        <v>-3.00638778747958E-5</v>
      </c>
      <c r="E9" s="1">
        <v>2.5326523837074801</v>
      </c>
      <c r="F9" s="1">
        <v>27.498137985870901</v>
      </c>
      <c r="G9" s="1">
        <v>6.9429232118029005E-4</v>
      </c>
      <c r="H9" s="1">
        <v>2.9642285814737899E-3</v>
      </c>
      <c r="K9" s="1">
        <v>6.4114822476794604</v>
      </c>
      <c r="L9" s="1">
        <v>0.15684135881043801</v>
      </c>
    </row>
    <row r="10" spans="1:18" ht="43.5" x14ac:dyDescent="0.35">
      <c r="A10" s="1" t="s">
        <v>16</v>
      </c>
      <c r="B10" s="1">
        <v>0.15962935141940701</v>
      </c>
      <c r="C10" s="1">
        <v>0.36765883142164701</v>
      </c>
      <c r="D10" s="2">
        <v>-7.4283547584182906E-5</v>
      </c>
      <c r="E10" s="1">
        <v>2.2881677642696299</v>
      </c>
      <c r="F10" s="1">
        <v>36.633732678781897</v>
      </c>
      <c r="G10" s="1">
        <v>6.9429232118029005E-4</v>
      </c>
      <c r="H10" s="1">
        <v>2.9642671015636E-3</v>
      </c>
      <c r="K10" s="1">
        <v>6.4479353517797096</v>
      </c>
      <c r="L10" s="1">
        <v>0.15962935141940701</v>
      </c>
    </row>
    <row r="11" spans="1:18" ht="43.5" x14ac:dyDescent="0.35">
      <c r="A11" s="1" t="s">
        <v>17</v>
      </c>
      <c r="B11" s="1">
        <v>0.156919397100484</v>
      </c>
      <c r="C11" s="1">
        <v>0.36764338764533799</v>
      </c>
      <c r="D11" s="2">
        <v>-4.35182774275199E-5</v>
      </c>
      <c r="E11" s="1">
        <v>2.28904563686093</v>
      </c>
      <c r="F11" s="1">
        <v>31.945543798567201</v>
      </c>
      <c r="G11" s="1">
        <v>6.9429232118029005E-4</v>
      </c>
      <c r="H11" s="1">
        <v>2.96452477556596E-3</v>
      </c>
      <c r="K11" s="1">
        <v>6.4380378561405101</v>
      </c>
      <c r="L11" s="1">
        <v>0.156919397100484</v>
      </c>
    </row>
    <row r="12" spans="1:18" ht="43.5" x14ac:dyDescent="0.35">
      <c r="A12" s="1" t="s">
        <v>18</v>
      </c>
      <c r="B12" s="1">
        <v>0.155597745068217</v>
      </c>
      <c r="C12" s="1">
        <v>0.36758969293110499</v>
      </c>
      <c r="D12" s="2">
        <v>-4.7914800587342597E-5</v>
      </c>
      <c r="E12" s="1">
        <v>2.2822051281276701</v>
      </c>
      <c r="F12" s="1">
        <v>39.940607716990897</v>
      </c>
      <c r="G12" s="1">
        <v>6.9429232118029005E-4</v>
      </c>
      <c r="H12" s="1">
        <v>2.96389169130465E-3</v>
      </c>
      <c r="K12" s="1">
        <v>6.4622234638598002</v>
      </c>
      <c r="L12" s="1">
        <v>0.155597745068217</v>
      </c>
    </row>
    <row r="13" spans="1:18" ht="43.5" x14ac:dyDescent="0.35">
      <c r="A13" s="1" t="s">
        <v>19</v>
      </c>
      <c r="B13" s="1">
        <v>0.15885224249518401</v>
      </c>
      <c r="C13" s="1">
        <v>0.36767702188057599</v>
      </c>
      <c r="D13" s="1">
        <v>-1.5408462583286299E-4</v>
      </c>
      <c r="E13" s="1">
        <v>1.03194066966604</v>
      </c>
      <c r="F13" s="1">
        <v>38.880565062797103</v>
      </c>
      <c r="G13" s="1">
        <v>6.9429232118029005E-4</v>
      </c>
      <c r="H13" s="1">
        <v>2.9653289980897599E-3</v>
      </c>
      <c r="K13" s="1">
        <v>6.4869972189926104</v>
      </c>
      <c r="L13" s="1">
        <v>0.15885224249518401</v>
      </c>
    </row>
    <row r="14" spans="1:18" ht="43.5" x14ac:dyDescent="0.35">
      <c r="A14" s="1" t="s">
        <v>20</v>
      </c>
      <c r="B14" s="1">
        <v>0.16383545771243299</v>
      </c>
      <c r="C14" s="1">
        <v>0.36770540113913602</v>
      </c>
      <c r="D14" s="2">
        <v>1.5948574472707601E-5</v>
      </c>
      <c r="E14" s="1">
        <v>2.5319447864422102</v>
      </c>
      <c r="F14" s="1">
        <v>46.742180335246097</v>
      </c>
      <c r="G14" s="1">
        <v>6.9429232118029005E-4</v>
      </c>
      <c r="H14" s="1">
        <v>2.9647052208743498E-3</v>
      </c>
      <c r="K14" s="1">
        <v>6.4795282774672396</v>
      </c>
      <c r="L14" s="1">
        <v>0.16383545771243299</v>
      </c>
    </row>
    <row r="15" spans="1:18" ht="43.5" x14ac:dyDescent="0.35">
      <c r="A15" s="1" t="s">
        <v>21</v>
      </c>
      <c r="B15" s="1">
        <v>0.153020070696018</v>
      </c>
      <c r="C15" s="1">
        <v>0.36780189207163999</v>
      </c>
      <c r="D15" s="2">
        <v>-5.0847921853024901E-5</v>
      </c>
      <c r="E15" s="1">
        <v>2.2823287017085101</v>
      </c>
      <c r="F15" s="1">
        <v>19.326698484648499</v>
      </c>
      <c r="G15" s="1">
        <v>6.9429232118029005E-4</v>
      </c>
      <c r="H15" s="1">
        <v>2.96572859137606E-3</v>
      </c>
      <c r="K15" s="1">
        <v>6.4477174597587803</v>
      </c>
      <c r="L15" s="1">
        <v>0.153020070696018</v>
      </c>
    </row>
    <row r="16" spans="1:18" ht="43.5" x14ac:dyDescent="0.35">
      <c r="A16" s="1" t="s">
        <v>22</v>
      </c>
      <c r="B16" s="1">
        <v>0.152339554657582</v>
      </c>
      <c r="C16" s="1">
        <v>0.36782413493573402</v>
      </c>
      <c r="D16" s="2">
        <v>-9.96807110023726E-5</v>
      </c>
      <c r="E16" s="1">
        <v>2.2885468961628201</v>
      </c>
      <c r="F16" s="1">
        <v>20.193172794578999</v>
      </c>
      <c r="G16" s="1">
        <v>6.9429232118029005E-4</v>
      </c>
      <c r="H16" s="1">
        <v>2.9655424026180698E-3</v>
      </c>
      <c r="K16" s="1">
        <v>6.4539491257087001</v>
      </c>
      <c r="L16" s="1">
        <v>0.152339554657582</v>
      </c>
    </row>
    <row r="17" spans="1:12" ht="43.5" x14ac:dyDescent="0.35">
      <c r="A17" s="1" t="s">
        <v>23</v>
      </c>
      <c r="B17" s="1">
        <v>0.15842085583787599</v>
      </c>
      <c r="C17" s="1">
        <v>0.36812138919021098</v>
      </c>
      <c r="D17" s="1">
        <v>-1.4877266751475401E-4</v>
      </c>
      <c r="E17" s="1">
        <v>2.28815135008495</v>
      </c>
      <c r="F17" s="1">
        <v>35.534064790420999</v>
      </c>
      <c r="G17" s="1">
        <v>6.9429232118029005E-4</v>
      </c>
      <c r="H17" s="1">
        <v>2.9676899515409202E-3</v>
      </c>
      <c r="K17" s="1">
        <v>6.4664010147030302</v>
      </c>
      <c r="L17" s="1">
        <v>0.15842085583787599</v>
      </c>
    </row>
    <row r="18" spans="1:12" ht="43.5" x14ac:dyDescent="0.35">
      <c r="A18" s="1" t="s">
        <v>24</v>
      </c>
      <c r="B18" s="1">
        <v>0.159952903318232</v>
      </c>
      <c r="C18" s="1">
        <v>0.36797006473309501</v>
      </c>
      <c r="D18" s="2">
        <v>-6.0320073931541097E-5</v>
      </c>
      <c r="E18" s="1">
        <v>2.2870681537347601</v>
      </c>
      <c r="F18" s="1">
        <v>35.132926947074097</v>
      </c>
      <c r="G18" s="1">
        <v>6.9429232118029005E-4</v>
      </c>
      <c r="H18" s="1">
        <v>2.9663657672181001E-3</v>
      </c>
      <c r="K18" s="1">
        <v>6.4113911234460499</v>
      </c>
      <c r="L18" s="1">
        <v>0.159952903318232</v>
      </c>
    </row>
    <row r="19" spans="1:12" ht="43.5" x14ac:dyDescent="0.35">
      <c r="A19" s="1" t="s">
        <v>25</v>
      </c>
      <c r="B19" s="1">
        <v>0.157185683211093</v>
      </c>
      <c r="C19" s="1">
        <v>0.367787396001375</v>
      </c>
      <c r="D19" s="2">
        <v>-6.4740826977007197E-6</v>
      </c>
      <c r="E19" s="1">
        <v>2.28580615823551</v>
      </c>
      <c r="F19" s="1">
        <v>33.360214973730699</v>
      </c>
      <c r="G19" s="1">
        <v>6.9429232118029005E-4</v>
      </c>
      <c r="H19" s="1">
        <v>2.96606665197085E-3</v>
      </c>
      <c r="K19" s="1">
        <v>6.3753863224383798</v>
      </c>
      <c r="L19" s="1">
        <v>0.157185683211093</v>
      </c>
    </row>
    <row r="20" spans="1:12" ht="43.5" x14ac:dyDescent="0.35">
      <c r="A20" s="1" t="s">
        <v>26</v>
      </c>
      <c r="B20" s="1">
        <v>0.156315106075467</v>
      </c>
      <c r="C20" s="1">
        <v>0.36782286020273802</v>
      </c>
      <c r="D20" s="2">
        <v>-6.6557102215169603E-5</v>
      </c>
      <c r="E20" s="1">
        <v>2.27915372235976</v>
      </c>
      <c r="F20" s="1">
        <v>25.1298128733252</v>
      </c>
      <c r="G20" s="1">
        <v>6.9429232118029005E-4</v>
      </c>
      <c r="H20" s="1">
        <v>2.96556251586525E-3</v>
      </c>
      <c r="K20" s="1">
        <v>6.4019588637249996</v>
      </c>
      <c r="L20" s="1">
        <v>0.156315106075467</v>
      </c>
    </row>
    <row r="21" spans="1:12" ht="43.5" x14ac:dyDescent="0.35">
      <c r="A21" s="1" t="s">
        <v>27</v>
      </c>
      <c r="B21" s="1">
        <v>0.16077822199891501</v>
      </c>
      <c r="C21" s="1">
        <v>0.36796226667144599</v>
      </c>
      <c r="D21" s="2">
        <v>-3.4169266271669601E-5</v>
      </c>
      <c r="E21" s="1">
        <v>1.7843311791307399</v>
      </c>
      <c r="F21" s="1">
        <v>43.716853117383003</v>
      </c>
      <c r="G21" s="1">
        <v>6.9429232118029005E-4</v>
      </c>
      <c r="H21" s="1">
        <v>2.9670550606516999E-3</v>
      </c>
      <c r="K21" s="1">
        <v>6.4867824804597802</v>
      </c>
      <c r="L21" s="1">
        <v>0.16077822199891501</v>
      </c>
    </row>
    <row r="22" spans="1:12" ht="43.5" x14ac:dyDescent="0.35">
      <c r="A22" s="1" t="s">
        <v>28</v>
      </c>
      <c r="B22" s="1">
        <v>0.15501070166050401</v>
      </c>
      <c r="C22" s="1">
        <v>0.36812343701809203</v>
      </c>
      <c r="D22" s="1">
        <v>-1.0261447943774201E-4</v>
      </c>
      <c r="E22" s="1">
        <v>1.5363771326223601</v>
      </c>
      <c r="F22" s="1">
        <v>24.6882549064557</v>
      </c>
      <c r="G22" s="1">
        <v>6.9429232118029005E-4</v>
      </c>
      <c r="H22" s="1">
        <v>2.9682210867349899E-3</v>
      </c>
      <c r="K22" s="1">
        <v>6.4567230138404801</v>
      </c>
      <c r="L22" s="1">
        <v>0.15501070166050401</v>
      </c>
    </row>
    <row r="23" spans="1:12" ht="43.5" x14ac:dyDescent="0.35">
      <c r="A23" s="1" t="s">
        <v>29</v>
      </c>
      <c r="B23" s="1">
        <v>0.15242906281287899</v>
      </c>
      <c r="C23" s="1">
        <v>0.36824323997789798</v>
      </c>
      <c r="D23" s="1">
        <v>-2.90106956229781E-4</v>
      </c>
      <c r="E23" s="1">
        <v>2.37447131892025</v>
      </c>
      <c r="F23" s="1">
        <v>14.424005250736499</v>
      </c>
      <c r="G23" s="1">
        <v>6.9429232118029005E-4</v>
      </c>
      <c r="H23" s="1">
        <v>2.9669256276203702E-3</v>
      </c>
      <c r="L23" s="1">
        <v>0.15242906281287899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69B4-45D7-4B56-9A76-A1B7FE555FAF}">
  <dimension ref="A1:H22"/>
  <sheetViews>
    <sheetView workbookViewId="0">
      <selection activeCell="B2" sqref="B2:B3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1" t="s">
        <v>8</v>
      </c>
      <c r="B2" s="1">
        <v>6.4122292632177098</v>
      </c>
      <c r="C2" s="1">
        <v>0.18688921124678101</v>
      </c>
      <c r="D2" s="1">
        <v>4.04646223881087E-4</v>
      </c>
      <c r="E2" s="1">
        <v>3.0406378491205999</v>
      </c>
      <c r="F2" s="1">
        <v>38.392790353178299</v>
      </c>
      <c r="G2" s="1">
        <v>2.2873064526439399E-3</v>
      </c>
      <c r="H2" s="1">
        <v>7.9249490115729099E-3</v>
      </c>
    </row>
    <row r="3" spans="1:8" ht="43.5" x14ac:dyDescent="0.35">
      <c r="A3" s="1" t="s">
        <v>9</v>
      </c>
      <c r="B3" s="1">
        <v>6.4661596754486697</v>
      </c>
      <c r="C3" s="1">
        <v>0.18664628126921701</v>
      </c>
      <c r="D3" s="1">
        <v>3.5010170201085002E-4</v>
      </c>
      <c r="E3" s="1">
        <v>3.0402258606417298</v>
      </c>
      <c r="F3" s="1">
        <v>35.717291062335804</v>
      </c>
      <c r="G3" s="1">
        <v>2.2875060342865301E-3</v>
      </c>
      <c r="H3" s="1">
        <v>8.2672233513789006E-3</v>
      </c>
    </row>
    <row r="4" spans="1:8" ht="43.5" x14ac:dyDescent="0.35">
      <c r="A4" s="1" t="s">
        <v>10</v>
      </c>
      <c r="B4" s="1">
        <v>6.4600318839352102</v>
      </c>
      <c r="C4" s="1">
        <v>0.18653863142812399</v>
      </c>
      <c r="D4" s="1">
        <v>3.5929967580382999E-4</v>
      </c>
      <c r="E4" s="1">
        <v>3.0405393263691001</v>
      </c>
      <c r="F4" s="1">
        <v>35.1635044201184</v>
      </c>
      <c r="G4" s="1">
        <v>2.2880859869877299E-3</v>
      </c>
      <c r="H4" s="1">
        <v>8.1814440100245293E-3</v>
      </c>
    </row>
    <row r="5" spans="1:8" ht="43.5" x14ac:dyDescent="0.35">
      <c r="A5" s="1" t="s">
        <v>11</v>
      </c>
      <c r="B5" s="1">
        <v>6.4125802051500802</v>
      </c>
      <c r="C5" s="1">
        <v>0.187028560831906</v>
      </c>
      <c r="D5" s="1">
        <v>3.2837955424933301E-4</v>
      </c>
      <c r="E5" s="1">
        <v>3.0408050794350099</v>
      </c>
      <c r="F5" s="1">
        <v>38.529375852238303</v>
      </c>
      <c r="G5" s="1">
        <v>2.2919291928172902E-3</v>
      </c>
      <c r="H5" s="1">
        <v>7.8352466728467702E-3</v>
      </c>
    </row>
    <row r="6" spans="1:8" ht="43.5" x14ac:dyDescent="0.35">
      <c r="A6" s="1" t="s">
        <v>12</v>
      </c>
      <c r="B6" s="1">
        <v>6.4435972188854196</v>
      </c>
      <c r="C6" s="1">
        <v>0.18674559237795399</v>
      </c>
      <c r="D6" s="1">
        <v>3.1383169160041901E-4</v>
      </c>
      <c r="E6" s="1">
        <v>3.0401983157182202</v>
      </c>
      <c r="F6" s="1">
        <v>37.605055946823903</v>
      </c>
      <c r="G6" s="1">
        <v>2.32216898169377E-3</v>
      </c>
      <c r="H6" s="1">
        <v>8.1385802801200603E-3</v>
      </c>
    </row>
    <row r="7" spans="1:8" ht="43.5" x14ac:dyDescent="0.35">
      <c r="A7" s="1" t="s">
        <v>13</v>
      </c>
      <c r="B7" s="1">
        <v>6.4421214254354497</v>
      </c>
      <c r="C7" s="1">
        <v>0.18658992301888</v>
      </c>
      <c r="D7" s="1">
        <v>3.2910548678996402E-4</v>
      </c>
      <c r="E7" s="1">
        <v>3.04040826761574</v>
      </c>
      <c r="F7" s="1">
        <v>35.368273061763702</v>
      </c>
      <c r="G7" s="1">
        <v>2.6267487977729301E-3</v>
      </c>
      <c r="H7" s="1">
        <v>8.1497653450676097E-3</v>
      </c>
    </row>
    <row r="8" spans="1:8" ht="43.5" x14ac:dyDescent="0.35">
      <c r="A8" s="1" t="s">
        <v>14</v>
      </c>
      <c r="B8" s="1">
        <v>6.4170445433537999</v>
      </c>
      <c r="C8" s="1">
        <v>0.18604536101181099</v>
      </c>
      <c r="D8" s="1">
        <v>3.3490617522890598E-4</v>
      </c>
      <c r="E8" s="1">
        <v>3.0296152583284099</v>
      </c>
      <c r="F8" s="1">
        <v>25.337839397118401</v>
      </c>
      <c r="G8" s="1">
        <v>3.2464631259094901E-3</v>
      </c>
      <c r="H8" s="1">
        <v>8.5393948072386202E-3</v>
      </c>
    </row>
    <row r="9" spans="1:8" ht="43.5" x14ac:dyDescent="0.35">
      <c r="A9" s="1" t="s">
        <v>15</v>
      </c>
      <c r="B9" s="1">
        <v>6.4114822476794604</v>
      </c>
      <c r="C9" s="1">
        <v>0.188727666269906</v>
      </c>
      <c r="D9" s="1">
        <v>2.5119448299333E-4</v>
      </c>
      <c r="E9" s="1">
        <v>3.0398895001032198</v>
      </c>
      <c r="F9" s="1">
        <v>39.815682544419701</v>
      </c>
      <c r="G9" s="1">
        <v>2.3265769935229301E-3</v>
      </c>
      <c r="H9" s="1">
        <v>7.9672012811105707E-3</v>
      </c>
    </row>
    <row r="10" spans="1:8" ht="43.5" x14ac:dyDescent="0.35">
      <c r="A10" s="1" t="s">
        <v>16</v>
      </c>
      <c r="B10" s="1">
        <v>6.4479353517797096</v>
      </c>
      <c r="C10" s="1">
        <v>0.188340371224132</v>
      </c>
      <c r="D10" s="1">
        <v>2.79039125305726E-4</v>
      </c>
      <c r="E10" s="1">
        <v>3.0408577512479198</v>
      </c>
      <c r="F10" s="1">
        <v>38.307314441490902</v>
      </c>
      <c r="G10" s="1">
        <v>2.4400552615831701E-3</v>
      </c>
      <c r="H10" s="1">
        <v>8.2431899284362304E-3</v>
      </c>
    </row>
    <row r="11" spans="1:8" ht="43.5" x14ac:dyDescent="0.35">
      <c r="A11" s="1" t="s">
        <v>17</v>
      </c>
      <c r="B11" s="1">
        <v>6.4380378561405101</v>
      </c>
      <c r="C11" s="1">
        <v>0.188212065140689</v>
      </c>
      <c r="D11" s="1">
        <v>2.17429681705843E-4</v>
      </c>
      <c r="E11" s="1">
        <v>3.0335163992462402</v>
      </c>
      <c r="F11" s="1">
        <v>28.262428148583499</v>
      </c>
      <c r="G11" s="1">
        <v>3.0772401361514401E-3</v>
      </c>
      <c r="H11" s="1">
        <v>8.59370460241125E-3</v>
      </c>
    </row>
    <row r="12" spans="1:8" ht="43.5" x14ac:dyDescent="0.35">
      <c r="A12" s="1" t="s">
        <v>18</v>
      </c>
      <c r="B12" s="1">
        <v>6.4622234638598002</v>
      </c>
      <c r="C12" s="1">
        <v>0.188386631117854</v>
      </c>
      <c r="D12" s="1">
        <v>2.35764722103397E-4</v>
      </c>
      <c r="E12" s="1">
        <v>3.0402198533838201</v>
      </c>
      <c r="F12" s="1">
        <v>36.327524947998498</v>
      </c>
      <c r="G12" s="1">
        <v>2.62964284833587E-3</v>
      </c>
      <c r="H12" s="1">
        <v>8.2969289376699906E-3</v>
      </c>
    </row>
    <row r="13" spans="1:8" ht="43.5" x14ac:dyDescent="0.35">
      <c r="A13" s="1" t="s">
        <v>19</v>
      </c>
      <c r="B13" s="1">
        <v>6.4869972189926104</v>
      </c>
      <c r="C13" s="1">
        <v>0.188220850352151</v>
      </c>
      <c r="D13" s="1">
        <v>2.4238895791337599E-4</v>
      </c>
      <c r="E13" s="1">
        <v>3.0407768154455499</v>
      </c>
      <c r="F13" s="1">
        <v>38.469473351950697</v>
      </c>
      <c r="G13" s="1">
        <v>2.2873005625010799E-3</v>
      </c>
      <c r="H13" s="1">
        <v>8.3606779790630706E-3</v>
      </c>
    </row>
    <row r="14" spans="1:8" ht="43.5" x14ac:dyDescent="0.35">
      <c r="A14" s="1" t="s">
        <v>20</v>
      </c>
      <c r="B14" s="1">
        <v>6.4795282774672396</v>
      </c>
      <c r="C14" s="1">
        <v>0.18810557171655201</v>
      </c>
      <c r="D14" s="1">
        <v>2.7593274233517797E-4</v>
      </c>
      <c r="E14" s="1">
        <v>3.04002856056431</v>
      </c>
      <c r="F14" s="1">
        <v>37.670519219496001</v>
      </c>
      <c r="G14" s="1">
        <v>2.2874314821901701E-3</v>
      </c>
      <c r="H14" s="1">
        <v>8.4441735546321502E-3</v>
      </c>
    </row>
    <row r="15" spans="1:8" ht="43.5" x14ac:dyDescent="0.35">
      <c r="A15" s="1" t="s">
        <v>21</v>
      </c>
      <c r="B15" s="1">
        <v>6.4477174597587803</v>
      </c>
      <c r="C15" s="1">
        <v>0.188275086499579</v>
      </c>
      <c r="D15" s="1">
        <v>2.32156365414489E-4</v>
      </c>
      <c r="E15" s="1">
        <v>3.0401207575200502</v>
      </c>
      <c r="F15" s="1">
        <v>37.002206520807498</v>
      </c>
      <c r="G15" s="1">
        <v>2.28731348947108E-3</v>
      </c>
      <c r="H15" s="1">
        <v>8.2985362813720893E-3</v>
      </c>
    </row>
    <row r="16" spans="1:8" ht="43.5" x14ac:dyDescent="0.35">
      <c r="A16" s="1" t="s">
        <v>22</v>
      </c>
      <c r="B16" s="1">
        <v>6.4539491257087001</v>
      </c>
      <c r="C16" s="1">
        <v>0.18821385559884601</v>
      </c>
      <c r="D16" s="1">
        <v>2.42215352684918E-4</v>
      </c>
      <c r="E16" s="1">
        <v>3.0402304931261299</v>
      </c>
      <c r="F16" s="1">
        <v>38.123370498761801</v>
      </c>
      <c r="G16" s="1">
        <v>2.2874766960965802E-3</v>
      </c>
      <c r="H16" s="1">
        <v>8.2939617612206498E-3</v>
      </c>
    </row>
    <row r="17" spans="1:8" ht="43.5" x14ac:dyDescent="0.35">
      <c r="A17" s="1" t="s">
        <v>23</v>
      </c>
      <c r="B17" s="1">
        <v>6.4664010147030302</v>
      </c>
      <c r="C17" s="1">
        <v>0.18780087549938901</v>
      </c>
      <c r="D17" s="1">
        <v>2.7379838597564702E-4</v>
      </c>
      <c r="E17" s="1">
        <v>3.0397433104668701</v>
      </c>
      <c r="F17" s="1">
        <v>28.885023710214298</v>
      </c>
      <c r="G17" s="1">
        <v>2.7761371407612799E-3</v>
      </c>
      <c r="H17" s="1">
        <v>8.6352512405249195E-3</v>
      </c>
    </row>
    <row r="18" spans="1:8" ht="43.5" x14ac:dyDescent="0.35">
      <c r="A18" s="1" t="s">
        <v>24</v>
      </c>
      <c r="B18" s="1">
        <v>6.4113911234460499</v>
      </c>
      <c r="C18" s="1">
        <v>0.18811312711071901</v>
      </c>
      <c r="D18" s="1">
        <v>2.8330981636452501E-4</v>
      </c>
      <c r="E18" s="1">
        <v>3.0404417891945399</v>
      </c>
      <c r="F18" s="1">
        <v>38.526202311487097</v>
      </c>
      <c r="G18" s="1">
        <v>2.44032859887456E-3</v>
      </c>
      <c r="H18" s="1">
        <v>8.1413879214518297E-3</v>
      </c>
    </row>
    <row r="19" spans="1:8" ht="43.5" x14ac:dyDescent="0.35">
      <c r="A19" s="1" t="s">
        <v>25</v>
      </c>
      <c r="B19" s="1">
        <v>6.3753863224383798</v>
      </c>
      <c r="C19" s="1">
        <v>0.18819368128768699</v>
      </c>
      <c r="D19" s="1">
        <v>2.9798725236693799E-4</v>
      </c>
      <c r="E19" s="1">
        <v>3.0398130532240102</v>
      </c>
      <c r="F19" s="1">
        <v>34.708393693371399</v>
      </c>
      <c r="G19" s="1">
        <v>3.06687397424471E-3</v>
      </c>
      <c r="H19" s="1">
        <v>8.1286291119728599E-3</v>
      </c>
    </row>
    <row r="20" spans="1:8" ht="43.5" x14ac:dyDescent="0.35">
      <c r="A20" s="1" t="s">
        <v>26</v>
      </c>
      <c r="B20" s="1">
        <v>6.4019588637249996</v>
      </c>
      <c r="C20" s="1">
        <v>0.18822033471938099</v>
      </c>
      <c r="D20" s="1">
        <v>2.7625659253632698E-4</v>
      </c>
      <c r="E20" s="1">
        <v>3.0399321696638602</v>
      </c>
      <c r="F20" s="1">
        <v>38.375078987384597</v>
      </c>
      <c r="G20" s="1">
        <v>2.3812793397469801E-3</v>
      </c>
      <c r="H20" s="1">
        <v>8.0777446612690304E-3</v>
      </c>
    </row>
    <row r="21" spans="1:8" ht="43.5" x14ac:dyDescent="0.35">
      <c r="A21" s="1" t="s">
        <v>27</v>
      </c>
      <c r="B21" s="1">
        <v>6.4867824804597802</v>
      </c>
      <c r="C21" s="1">
        <v>0.187952203578406</v>
      </c>
      <c r="D21" s="1">
        <v>2.51142658157283E-4</v>
      </c>
      <c r="E21" s="1">
        <v>3.04034930661749</v>
      </c>
      <c r="F21" s="1">
        <v>36.197301345791402</v>
      </c>
      <c r="G21" s="1">
        <v>2.3656440877598099E-3</v>
      </c>
      <c r="H21" s="1">
        <v>8.4568456605732898E-3</v>
      </c>
    </row>
    <row r="22" spans="1:8" ht="43.5" x14ac:dyDescent="0.35">
      <c r="A22" s="1" t="s">
        <v>28</v>
      </c>
      <c r="B22" s="1">
        <v>6.4567230138404801</v>
      </c>
      <c r="C22" s="1">
        <v>0.18817581851892301</v>
      </c>
      <c r="D22" s="1">
        <v>1.9881441963591899E-4</v>
      </c>
      <c r="E22" s="1">
        <v>3.0402056681218101</v>
      </c>
      <c r="F22" s="1">
        <v>37.085033495211903</v>
      </c>
      <c r="G22" s="1">
        <v>2.3193927809002399E-3</v>
      </c>
      <c r="H22" s="1">
        <v>8.42039287222387E-3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456 </vt:lpstr>
      <vt:lpstr>894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2025-12-04T06:33:41Z</dcterms:created>
  <dcterms:modified xsi:type="dcterms:W3CDTF">2025-12-04T07:01:47Z</dcterms:modified>
</cp:coreProperties>
</file>