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n30,2026\"/>
    </mc:Choice>
  </mc:AlternateContent>
  <xr:revisionPtr revIDLastSave="0" documentId="8_{711BA157-ADF1-408A-B7B4-2494EA6AFDE5}" xr6:coauthVersionLast="47" xr6:coauthVersionMax="47" xr10:uidLastSave="{00000000-0000-0000-0000-000000000000}"/>
  <bookViews>
    <workbookView xWindow="4470" yWindow="3300" windowWidth="21600" windowHeight="11295" xr2:uid="{D9E101C5-8284-4B59-8B1C-2AD2D5F2FDD3}"/>
  </bookViews>
  <sheets>
    <sheet name="894" sheetId="2" r:id="rId1"/>
    <sheet name="456" sheetId="1" r:id="rId2"/>
    <sheet name="AbsCoef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2" l="1"/>
  <c r="U2" i="2"/>
  <c r="I4" i="2"/>
  <c r="I3" i="2"/>
  <c r="I2" i="2"/>
  <c r="H4" i="3"/>
  <c r="I3" i="3"/>
  <c r="I4" i="3"/>
  <c r="I5" i="3"/>
  <c r="H3" i="3"/>
  <c r="U4" i="2" l="1"/>
  <c r="H5" i="3"/>
</calcChain>
</file>

<file path=xl/sharedStrings.xml><?xml version="1.0" encoding="utf-8"?>
<sst xmlns="http://schemas.openxmlformats.org/spreadsheetml/2006/main" count="165" uniqueCount="50">
  <si>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</si>
  <si>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</si>
  <si>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</si>
  <si>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</si>
  <si>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</si>
  <si>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</si>
  <si>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</si>
  <si>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</si>
  <si>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</si>
  <si>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</si>
  <si>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</si>
  <si>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Jun30,2026+1-12-31PM</t>
  </si>
  <si>
    <t>Jun30,2026+1-21-11PM</t>
  </si>
  <si>
    <t>Jun30,2026+1-34-41PM</t>
  </si>
  <si>
    <t>Jun30,2026+1-48-03PM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</si>
  <si>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</si>
  <si>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</si>
  <si>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</si>
  <si>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</si>
  <si>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</si>
  <si>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</si>
  <si>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</si>
  <si>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</si>
  <si>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</si>
  <si>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</si>
  <si>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</si>
  <si>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</si>
  <si>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</si>
  <si>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</si>
  <si>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</si>
  <si>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</si>
  <si>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</si>
  <si>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</si>
  <si>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</si>
  <si>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</si>
  <si>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</si>
  <si>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</si>
  <si>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</si>
  <si>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</si>
  <si>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Jun30,2026+9-04-35AM</t>
  </si>
  <si>
    <t>Jun30,2026+9-12-51AM</t>
  </si>
  <si>
    <t>Jun30,2026+9-50-05AM</t>
  </si>
  <si>
    <t>Jun30,2026+9-58-55AM</t>
  </si>
  <si>
    <t>Jun30,2026+1-03-31PM</t>
  </si>
  <si>
    <t>Jun30,2026+10-23-00AM</t>
  </si>
  <si>
    <t>Jun30,2026+12-26-19PM</t>
  </si>
  <si>
    <t>Jun30,2026+4-20-52PM</t>
  </si>
  <si>
    <t>Jun30,2026+4-41-26PM</t>
  </si>
  <si>
    <t>Jun30,2026+4-49-15PM</t>
  </si>
  <si>
    <t>Jun30,2026+5-45-36PM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</si>
</sst>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tabSelected="1" workbookViewId="0">
      <selection activeCell="U6" sqref="U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L1" s="1" t="s">
        <v>0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22" ht="42.75">
      <c r="A2" s="1" t="s">
        <v>11</v>
      </c>
      <c r="B2" s="1">
        <v>14.631998174448899</v>
      </c>
      <c r="C2" s="1">
        <v>1.37047865450173</v>
      </c>
      <c r="D2" s="1">
        <v>-3.7700736029915899E-3</v>
      </c>
      <c r="E2" s="1">
        <v>2.375116951012</v>
      </c>
      <c r="F2" s="1">
        <v>42.084666149967099</v>
      </c>
      <c r="G2" s="1">
        <v>3.1532650443772902E-3</v>
      </c>
      <c r="H2" s="1"/>
      <c r="I2">
        <f>AVERAGE(B2:B33)</f>
        <v>14.765901901229174</v>
      </c>
      <c r="L2" s="1" t="s">
        <v>11</v>
      </c>
      <c r="M2" s="1">
        <v>14.6522889999402</v>
      </c>
      <c r="N2" s="1">
        <v>1.3689540908806099</v>
      </c>
      <c r="O2" s="1">
        <v>-3.7700736037058098E-3</v>
      </c>
      <c r="P2" s="1">
        <v>5.1784265669725996E-4</v>
      </c>
      <c r="Q2" s="1">
        <v>2.3753749195829301</v>
      </c>
      <c r="R2" s="1">
        <v>42.084666143904002</v>
      </c>
      <c r="S2" s="1">
        <v>3.3244935994686999E-3</v>
      </c>
      <c r="T2" s="1"/>
      <c r="U2">
        <f>AVERAGE(M2:M33)</f>
        <v>14.76427315563798</v>
      </c>
    </row>
    <row r="3" spans="1:22" ht="42.75">
      <c r="A3" s="1" t="s">
        <v>12</v>
      </c>
      <c r="B3" s="1">
        <v>14.6724748610003</v>
      </c>
      <c r="C3" s="1">
        <v>1.37069070584889</v>
      </c>
      <c r="D3" s="1">
        <v>-3.78568823181624E-3</v>
      </c>
      <c r="E3" s="1">
        <v>2.3764232172251201</v>
      </c>
      <c r="F3" s="1">
        <v>42.060511419998598</v>
      </c>
      <c r="G3" s="1">
        <v>3.28395375425622E-3</v>
      </c>
      <c r="H3" s="1"/>
      <c r="I3">
        <f>_xlfn.STDEV.S(B2:B33)</f>
        <v>0.14091053733310865</v>
      </c>
      <c r="L3" s="1" t="s">
        <v>12</v>
      </c>
      <c r="M3" s="1">
        <v>14.9257190945536</v>
      </c>
      <c r="N3" s="1">
        <v>1.36897061106933</v>
      </c>
      <c r="O3" s="1">
        <v>-3.78568823181624E-3</v>
      </c>
      <c r="P3" s="1">
        <v>4.7518718847408098E-4</v>
      </c>
      <c r="Q3" s="1">
        <v>2.3759329710563599</v>
      </c>
      <c r="R3" s="1">
        <v>40.060511420041301</v>
      </c>
      <c r="S3" s="1">
        <v>3.1944488826405101E-3</v>
      </c>
      <c r="T3" s="1"/>
      <c r="U3">
        <f>_xlfn.STDEV.S(M2:M33)</f>
        <v>0.11723666583628554</v>
      </c>
      <c r="V3" s="1"/>
    </row>
    <row r="4" spans="1:22" ht="42.75">
      <c r="A4" s="1" t="s">
        <v>13</v>
      </c>
      <c r="B4" s="1">
        <v>14.5414739371093</v>
      </c>
      <c r="C4" s="1">
        <v>1.3720281232761999</v>
      </c>
      <c r="D4" s="1">
        <v>-3.5560247224669501E-3</v>
      </c>
      <c r="E4" s="1">
        <v>2.3758291486437702</v>
      </c>
      <c r="F4" s="1">
        <v>42.077034789929598</v>
      </c>
      <c r="G4" s="1">
        <v>3.57139192202735E-3</v>
      </c>
      <c r="H4" s="1"/>
      <c r="I4">
        <f>I3/I2</f>
        <v>9.5429685416898707E-3</v>
      </c>
      <c r="L4" s="1" t="s">
        <v>13</v>
      </c>
      <c r="M4" s="1">
        <v>14.7998869819949</v>
      </c>
      <c r="N4" s="1">
        <v>1.3697383123965801</v>
      </c>
      <c r="O4" s="1">
        <v>-3.68073907311563E-3</v>
      </c>
      <c r="P4" s="1">
        <v>3.7029655679784502E-4</v>
      </c>
      <c r="Q4" s="1">
        <v>2.3745710339381501</v>
      </c>
      <c r="R4" s="1">
        <v>40.077035520837498</v>
      </c>
      <c r="S4" s="1">
        <v>3.1727979703080498E-3</v>
      </c>
      <c r="T4" s="1"/>
      <c r="U4">
        <f>U3/U2</f>
        <v>7.9405646726006824E-3</v>
      </c>
    </row>
    <row r="5" spans="1:22" ht="42.75">
      <c r="A5" s="1" t="s">
        <v>14</v>
      </c>
      <c r="B5" s="1">
        <v>14.8098620908903</v>
      </c>
      <c r="C5" s="1">
        <v>1.37127904598077</v>
      </c>
      <c r="D5" s="1">
        <v>-3.77738387675406E-3</v>
      </c>
      <c r="E5" s="1">
        <v>2.37708853792966</v>
      </c>
      <c r="F5" s="1">
        <v>42.0953848495394</v>
      </c>
      <c r="G5" s="1">
        <v>3.1576511773077501E-3</v>
      </c>
      <c r="H5" s="1"/>
      <c r="L5" s="1" t="s">
        <v>14</v>
      </c>
      <c r="M5" s="1">
        <v>14.933638574329001</v>
      </c>
      <c r="N5" s="1">
        <v>1.36974892704846</v>
      </c>
      <c r="O5" s="1">
        <v>-3.77738387675406E-3</v>
      </c>
      <c r="P5" s="1">
        <v>4.9674346189836603E-4</v>
      </c>
      <c r="Q5" s="1">
        <v>2.3751416237725098</v>
      </c>
      <c r="R5" s="1">
        <v>40.0953848602744</v>
      </c>
      <c r="S5" s="1">
        <v>3.1530358049070501E-3</v>
      </c>
      <c r="T5" s="1"/>
    </row>
    <row r="6" spans="1:22" ht="42.75">
      <c r="A6" s="1" t="s">
        <v>15</v>
      </c>
      <c r="B6" s="1">
        <v>14.848372496325201</v>
      </c>
      <c r="C6" s="1">
        <v>1.38202485994561</v>
      </c>
      <c r="D6" s="1">
        <v>-3.4206832568891401E-3</v>
      </c>
      <c r="E6" s="1">
        <v>2.3765059150167001</v>
      </c>
      <c r="F6" s="1">
        <v>39.794085120080098</v>
      </c>
      <c r="G6" s="1">
        <v>2.2873004957297801E-3</v>
      </c>
      <c r="H6" s="1"/>
      <c r="L6" s="1" t="s">
        <v>15</v>
      </c>
      <c r="M6" s="1">
        <v>14.724938429333699</v>
      </c>
      <c r="N6" s="1">
        <v>1.3807434647299901</v>
      </c>
      <c r="O6" s="1">
        <v>-3.6091407910026898E-3</v>
      </c>
      <c r="P6" s="1">
        <v>5.0284648875260104E-4</v>
      </c>
      <c r="Q6" s="1">
        <v>2.3756218665706101</v>
      </c>
      <c r="R6" s="1">
        <v>39.794085120188598</v>
      </c>
      <c r="S6" s="1">
        <v>3.0595718540740698E-3</v>
      </c>
      <c r="T6" s="1"/>
    </row>
    <row r="7" spans="1:22" ht="42.75">
      <c r="A7" s="1" t="s">
        <v>16</v>
      </c>
      <c r="B7" s="1">
        <v>14.899698212446999</v>
      </c>
      <c r="C7" s="1">
        <v>1.38073759464755</v>
      </c>
      <c r="D7" s="1">
        <v>-3.4098243535110799E-3</v>
      </c>
      <c r="E7" s="1">
        <v>2.3740599687352399</v>
      </c>
      <c r="F7" s="1">
        <v>39.763369370920302</v>
      </c>
      <c r="G7" s="1">
        <v>2.2873004957154699E-3</v>
      </c>
      <c r="H7" s="1"/>
      <c r="L7" s="1" t="s">
        <v>16</v>
      </c>
      <c r="M7" s="1">
        <v>14.8057635352784</v>
      </c>
      <c r="N7" s="1">
        <v>1.37912253903686</v>
      </c>
      <c r="O7" s="1">
        <v>-3.4188647193036099E-3</v>
      </c>
      <c r="P7" s="1">
        <v>7.1982111569123496E-4</v>
      </c>
      <c r="Q7" s="1">
        <v>2.3743525633050599</v>
      </c>
      <c r="R7" s="1">
        <v>40.9379263375221</v>
      </c>
      <c r="S7" s="1">
        <v>3.7295390659607699E-3</v>
      </c>
      <c r="T7" s="1"/>
    </row>
    <row r="8" spans="1:22" ht="42.75">
      <c r="A8" s="1" t="s">
        <v>17</v>
      </c>
      <c r="B8" s="1">
        <v>14.810888493288999</v>
      </c>
      <c r="C8" s="1">
        <v>1.3754882020077901</v>
      </c>
      <c r="D8" s="1">
        <v>-3.6570498001698799E-3</v>
      </c>
      <c r="E8" s="1">
        <v>2.3723632586073</v>
      </c>
      <c r="F8" s="1">
        <v>40.948490811054299</v>
      </c>
      <c r="G8" s="1">
        <v>2.3832613509317101E-3</v>
      </c>
      <c r="H8" s="1"/>
      <c r="L8" s="1" t="s">
        <v>17</v>
      </c>
      <c r="M8" s="1">
        <v>14.8433449204122</v>
      </c>
      <c r="N8" s="1">
        <v>1.3747228736222801</v>
      </c>
      <c r="O8" s="1">
        <v>-3.6570498031116101E-3</v>
      </c>
      <c r="P8" s="1">
        <v>4.5224198601142202E-4</v>
      </c>
      <c r="Q8" s="1">
        <v>2.3749768015384198</v>
      </c>
      <c r="R8" s="1">
        <v>40.936177042228799</v>
      </c>
      <c r="S8" s="1">
        <v>3.2879580476745099E-3</v>
      </c>
      <c r="T8" s="1"/>
    </row>
    <row r="9" spans="1:22" ht="42.75">
      <c r="A9" s="1" t="s">
        <v>18</v>
      </c>
      <c r="B9" s="1">
        <v>14.679244556567999</v>
      </c>
      <c r="C9" s="1">
        <v>1.37684055277734</v>
      </c>
      <c r="D9" s="1">
        <v>-3.46112282125802E-3</v>
      </c>
      <c r="E9" s="1">
        <v>2.3719971590086901</v>
      </c>
      <c r="F9" s="1">
        <v>41.8267680994364</v>
      </c>
      <c r="G9" s="1">
        <v>3.80546338785298E-3</v>
      </c>
      <c r="H9" s="1"/>
      <c r="L9" s="1" t="s">
        <v>18</v>
      </c>
      <c r="M9" s="1">
        <v>14.842235301195901</v>
      </c>
      <c r="N9" s="1">
        <v>1.37395457637812</v>
      </c>
      <c r="O9" s="1">
        <v>-3.5799837673718901E-3</v>
      </c>
      <c r="P9" s="1">
        <v>3.3003620537021798E-4</v>
      </c>
      <c r="Q9" s="1">
        <v>2.3746620129962501</v>
      </c>
      <c r="R9" s="1">
        <v>39.826768100090803</v>
      </c>
      <c r="S9" s="1">
        <v>2.7649563976547202E-3</v>
      </c>
      <c r="T9" s="1"/>
    </row>
    <row r="10" spans="1:22" ht="42.75">
      <c r="A10" s="1" t="s">
        <v>19</v>
      </c>
      <c r="B10" s="1">
        <v>14.738029844308899</v>
      </c>
      <c r="C10" s="1">
        <v>1.37340049211249</v>
      </c>
      <c r="D10" s="1">
        <v>-4.6867562447209304E-3</v>
      </c>
      <c r="E10" s="1">
        <v>2.3780345812169101</v>
      </c>
      <c r="F10" s="1">
        <v>41.861430849999898</v>
      </c>
      <c r="G10" s="1">
        <v>3.0226167595771699E-3</v>
      </c>
      <c r="H10" s="1"/>
      <c r="L10" s="1" t="s">
        <v>19</v>
      </c>
      <c r="M10" s="1">
        <v>14.7140534867903</v>
      </c>
      <c r="N10" s="1">
        <v>1.3722287407698199</v>
      </c>
      <c r="O10" s="1">
        <v>-4.6867562452318802E-3</v>
      </c>
      <c r="P10" s="1">
        <v>1.53256610682857E-3</v>
      </c>
      <c r="Q10" s="1">
        <v>2.3770253157935</v>
      </c>
      <c r="R10" s="1">
        <v>39.861430850535399</v>
      </c>
      <c r="S10" s="1">
        <v>4.5746009913729801E-3</v>
      </c>
      <c r="T10" s="1"/>
    </row>
    <row r="11" spans="1:22" ht="42.75">
      <c r="A11" s="1" t="s">
        <v>20</v>
      </c>
      <c r="B11" s="1">
        <v>15.006235992571201</v>
      </c>
      <c r="C11" s="1">
        <v>1.36791954639505</v>
      </c>
      <c r="D11" s="1">
        <v>-3.85953612137932E-3</v>
      </c>
      <c r="E11" s="1">
        <v>2.37732912647586</v>
      </c>
      <c r="F11" s="1">
        <v>39.887372000665898</v>
      </c>
      <c r="G11" s="1">
        <v>2.2873004957157999E-3</v>
      </c>
      <c r="H11" s="1"/>
      <c r="L11" s="1" t="s">
        <v>20</v>
      </c>
      <c r="M11" s="1">
        <v>14.983450865795399</v>
      </c>
      <c r="N11" s="1">
        <v>1.36670341457898</v>
      </c>
      <c r="O11" s="1">
        <v>-3.8595361224924799E-3</v>
      </c>
      <c r="P11" s="1">
        <v>3.6668735644375898E-4</v>
      </c>
      <c r="Q11" s="1">
        <v>2.3748885820873502</v>
      </c>
      <c r="R11" s="1">
        <v>39.8873720168422</v>
      </c>
      <c r="S11" s="1">
        <v>2.90399839449264E-3</v>
      </c>
      <c r="T11" s="1"/>
    </row>
    <row r="12" spans="1:22" ht="42.75">
      <c r="A12" s="1" t="s">
        <v>21</v>
      </c>
      <c r="B12" s="1">
        <v>14.931755049277101</v>
      </c>
      <c r="C12" s="1">
        <v>1.3642264830431099</v>
      </c>
      <c r="D12" s="1">
        <v>-2.5380445351778501E-3</v>
      </c>
      <c r="E12" s="1">
        <v>2.3731213993845901</v>
      </c>
      <c r="F12" s="1">
        <v>40.033403360044701</v>
      </c>
      <c r="G12" s="1">
        <v>2.2873004957070001E-3</v>
      </c>
      <c r="H12" s="1"/>
      <c r="L12" s="1" t="s">
        <v>21</v>
      </c>
      <c r="M12" s="1">
        <v>14.676652845174701</v>
      </c>
      <c r="N12" s="1">
        <v>1.36305987055036</v>
      </c>
      <c r="O12" s="1">
        <v>-2.5380445351778501E-3</v>
      </c>
      <c r="P12" s="1">
        <v>7.2330641435824905E-4</v>
      </c>
      <c r="Q12" s="1">
        <v>2.3748144903928901</v>
      </c>
      <c r="R12" s="1">
        <v>40.033403360007497</v>
      </c>
      <c r="S12" s="1">
        <v>3.88038111634588E-3</v>
      </c>
      <c r="T12" s="1"/>
    </row>
    <row r="13" spans="1:22" ht="42.75">
      <c r="A13" s="1" t="s">
        <v>22</v>
      </c>
      <c r="B13" s="1">
        <v>14.877675513746899</v>
      </c>
      <c r="C13" s="1">
        <v>1.36784062048916</v>
      </c>
      <c r="D13" s="1">
        <v>-3.7349747982763299E-3</v>
      </c>
      <c r="E13" s="1">
        <v>2.3725345688995301</v>
      </c>
      <c r="F13" s="1">
        <v>40.290030611631899</v>
      </c>
      <c r="G13" s="1">
        <v>2.28730095364079E-3</v>
      </c>
      <c r="H13" s="1"/>
      <c r="L13" s="1" t="s">
        <v>22</v>
      </c>
      <c r="M13" s="1">
        <v>14.8877937459382</v>
      </c>
      <c r="N13" s="1">
        <v>1.3673741249147899</v>
      </c>
      <c r="O13" s="1">
        <v>-3.7350176739204899E-3</v>
      </c>
      <c r="P13" s="1">
        <v>3.7679071748980401E-4</v>
      </c>
      <c r="Q13" s="1">
        <v>2.3744312338474698</v>
      </c>
      <c r="R13" s="1">
        <v>40.047295240257498</v>
      </c>
      <c r="S13" s="1">
        <v>2.8729325603818298E-3</v>
      </c>
      <c r="T13" s="1"/>
    </row>
    <row r="14" spans="1:22" ht="42.75">
      <c r="A14" s="1" t="s">
        <v>23</v>
      </c>
      <c r="B14" s="1">
        <v>14.746074117484801</v>
      </c>
      <c r="C14" s="1">
        <v>1.3702610061395599</v>
      </c>
      <c r="D14" s="1">
        <v>-3.7588647764971502E-3</v>
      </c>
      <c r="E14" s="1">
        <v>2.37218706909889</v>
      </c>
      <c r="F14" s="1">
        <v>42.061623599115698</v>
      </c>
      <c r="G14" s="1">
        <v>2.5673002158590401E-3</v>
      </c>
      <c r="H14" s="1"/>
      <c r="L14" s="1" t="s">
        <v>23</v>
      </c>
      <c r="M14" s="1">
        <v>15.004536995555</v>
      </c>
      <c r="N14" s="1">
        <v>1.36964757866019</v>
      </c>
      <c r="O14" s="1">
        <v>-3.7588647764971502E-3</v>
      </c>
      <c r="P14" s="1">
        <v>3.0015645823934701E-4</v>
      </c>
      <c r="Q14" s="1">
        <v>2.3748226969765298</v>
      </c>
      <c r="R14" s="1">
        <v>41.145869310003199</v>
      </c>
      <c r="S14" s="1">
        <v>2.8461837569993499E-3</v>
      </c>
      <c r="T14" s="1"/>
    </row>
    <row r="15" spans="1:22" ht="42.75">
      <c r="A15" s="1" t="s">
        <v>24</v>
      </c>
      <c r="B15" s="1">
        <v>14.640937142556799</v>
      </c>
      <c r="C15" s="1">
        <v>1.36857116807459</v>
      </c>
      <c r="D15" s="1">
        <v>-3.7173313885781201E-3</v>
      </c>
      <c r="E15" s="1">
        <v>2.3739692914567798</v>
      </c>
      <c r="F15" s="1">
        <v>42.066888965653803</v>
      </c>
      <c r="G15" s="1">
        <v>2.7664408588178899E-3</v>
      </c>
      <c r="H15" s="1"/>
      <c r="L15" s="1" t="s">
        <v>24</v>
      </c>
      <c r="M15" s="1">
        <v>14.731519728181899</v>
      </c>
      <c r="N15" s="1">
        <v>1.3678744652934101</v>
      </c>
      <c r="O15" s="1">
        <v>-3.7173313927009299E-3</v>
      </c>
      <c r="P15" s="1">
        <v>3.9752505513142701E-4</v>
      </c>
      <c r="Q15" s="1">
        <v>2.3746123640643799</v>
      </c>
      <c r="R15" s="1">
        <v>40.066889050143402</v>
      </c>
      <c r="S15" s="1">
        <v>3.1924114201463201E-3</v>
      </c>
      <c r="T15" s="1"/>
    </row>
    <row r="16" spans="1:22" ht="42.75">
      <c r="A16" s="1" t="s">
        <v>25</v>
      </c>
      <c r="B16" s="1">
        <v>14.5919542716605</v>
      </c>
      <c r="C16" s="1">
        <v>1.3711641853235601</v>
      </c>
      <c r="D16" s="1">
        <v>-3.75844712472589E-3</v>
      </c>
      <c r="E16" s="1">
        <v>2.37617859037353</v>
      </c>
      <c r="F16" s="1">
        <v>42.0642031949764</v>
      </c>
      <c r="G16" s="1">
        <v>2.9722505738732398E-3</v>
      </c>
      <c r="H16" s="1"/>
      <c r="L16" s="1" t="s">
        <v>25</v>
      </c>
      <c r="M16" s="1">
        <v>14.625208533355</v>
      </c>
      <c r="N16" s="1">
        <v>1.37000820344151</v>
      </c>
      <c r="O16" s="1">
        <v>-3.75844712472864E-3</v>
      </c>
      <c r="P16" s="1">
        <v>4.6651932019780201E-4</v>
      </c>
      <c r="Q16" s="1">
        <v>2.3750217374632601</v>
      </c>
      <c r="R16" s="1">
        <v>40.064203200042698</v>
      </c>
      <c r="S16" s="1">
        <v>3.0765220069264498E-3</v>
      </c>
      <c r="T16" s="1"/>
    </row>
    <row r="17" spans="1:20" ht="42.75">
      <c r="A17" s="1" t="s">
        <v>26</v>
      </c>
      <c r="B17" s="1">
        <v>14.5587210638217</v>
      </c>
      <c r="C17" s="1">
        <v>1.37195653714414</v>
      </c>
      <c r="D17" s="1">
        <v>-3.41693896453244E-3</v>
      </c>
      <c r="E17" s="1">
        <v>2.3749016103076501</v>
      </c>
      <c r="F17" s="1">
        <v>42.062751909695301</v>
      </c>
      <c r="G17" s="1">
        <v>3.7606322378712399E-3</v>
      </c>
      <c r="H17" s="1"/>
      <c r="L17" s="1" t="s">
        <v>26</v>
      </c>
      <c r="M17" s="1">
        <v>14.558821600230299</v>
      </c>
      <c r="N17" s="1">
        <v>1.3694786179946401</v>
      </c>
      <c r="O17" s="1">
        <v>-3.5424763002060702E-3</v>
      </c>
      <c r="P17" s="1">
        <v>4.2424058510097699E-4</v>
      </c>
      <c r="Q17" s="1">
        <v>2.3743230739167398</v>
      </c>
      <c r="R17" s="1">
        <v>40.062751910001602</v>
      </c>
      <c r="S17" s="1">
        <v>2.9556488550297202E-3</v>
      </c>
      <c r="T17" s="1"/>
    </row>
    <row r="18" spans="1:20" ht="42.75">
      <c r="A18" s="1" t="s">
        <v>27</v>
      </c>
      <c r="B18" s="1">
        <v>14.659733641213601</v>
      </c>
      <c r="C18" s="1">
        <v>1.3712448425538299</v>
      </c>
      <c r="D18" s="1">
        <v>-2.4565493285442102E-3</v>
      </c>
      <c r="E18" s="1">
        <v>2.3739836818571201</v>
      </c>
      <c r="F18" s="1">
        <v>42.092184979236102</v>
      </c>
      <c r="G18" s="1">
        <v>3.00948135623051E-3</v>
      </c>
      <c r="H18" s="1"/>
      <c r="L18" s="1" t="s">
        <v>27</v>
      </c>
      <c r="M18" s="1">
        <v>14.790762506968401</v>
      </c>
      <c r="N18" s="1">
        <v>1.3699569197905901</v>
      </c>
      <c r="O18" s="1">
        <v>-2.66302127231713E-3</v>
      </c>
      <c r="P18" s="1">
        <v>6.9485211078476605E-4</v>
      </c>
      <c r="Q18" s="1">
        <v>2.3758661519128399</v>
      </c>
      <c r="R18" s="1">
        <v>40.092184980151103</v>
      </c>
      <c r="S18" s="1">
        <v>3.12992585445972E-3</v>
      </c>
      <c r="T18" s="1"/>
    </row>
    <row r="19" spans="1:20" ht="42.75">
      <c r="A19" s="1" t="s">
        <v>28</v>
      </c>
      <c r="B19" s="1">
        <v>14.5682516009454</v>
      </c>
      <c r="C19" s="1">
        <v>1.37612732794818</v>
      </c>
      <c r="D19" s="1">
        <v>-3.6440990410240002E-3</v>
      </c>
      <c r="E19" s="1">
        <v>2.37479439692697</v>
      </c>
      <c r="F19" s="1">
        <v>42.066224524773197</v>
      </c>
      <c r="G19" s="1">
        <v>3.2666807801508E-3</v>
      </c>
      <c r="H19" s="1"/>
      <c r="L19" s="1" t="s">
        <v>28</v>
      </c>
      <c r="M19" s="1">
        <v>14.5857901705748</v>
      </c>
      <c r="N19" s="1">
        <v>1.3743157146796501</v>
      </c>
      <c r="O19" s="1">
        <v>-3.6440990410240002E-3</v>
      </c>
      <c r="P19" s="1">
        <v>4.1887839852329002E-4</v>
      </c>
      <c r="Q19" s="1">
        <v>2.3756083800533099</v>
      </c>
      <c r="R19" s="1">
        <v>40.066224732261801</v>
      </c>
      <c r="S19" s="1">
        <v>3.3162969271159199E-3</v>
      </c>
    </row>
    <row r="20" spans="1:20" ht="42.75">
      <c r="A20" s="1" t="s">
        <v>29</v>
      </c>
      <c r="B20" s="1">
        <v>14.6781335911072</v>
      </c>
      <c r="C20" s="1">
        <v>1.3723602285118399</v>
      </c>
      <c r="D20" s="1">
        <v>-3.81502417444821E-3</v>
      </c>
      <c r="E20" s="1">
        <v>2.3732600884950901</v>
      </c>
      <c r="F20" s="1">
        <v>42.056770319998002</v>
      </c>
      <c r="G20" s="1">
        <v>3.1293293069413501E-3</v>
      </c>
      <c r="H20" s="1"/>
      <c r="L20" s="1" t="s">
        <v>29</v>
      </c>
      <c r="M20" s="1">
        <v>14.824045703012899</v>
      </c>
      <c r="N20" s="1">
        <v>1.37075775151811</v>
      </c>
      <c r="O20" s="1">
        <v>-3.8150241749168598E-3</v>
      </c>
      <c r="P20" s="1">
        <v>3.8270076853579401E-4</v>
      </c>
      <c r="Q20" s="1">
        <v>2.3763310394269599</v>
      </c>
      <c r="R20" s="1">
        <v>40.0567703200118</v>
      </c>
      <c r="S20" s="1">
        <v>2.67135783702148E-3</v>
      </c>
    </row>
    <row r="21" spans="1:20" ht="42.75">
      <c r="A21" s="1" t="s">
        <v>30</v>
      </c>
      <c r="B21" s="1">
        <v>14.6663906133572</v>
      </c>
      <c r="C21" s="1">
        <v>1.37016974677308</v>
      </c>
      <c r="D21" s="1">
        <v>-2.6247382194693101E-3</v>
      </c>
      <c r="E21" s="1">
        <v>2.3740747011241199</v>
      </c>
      <c r="F21" s="1">
        <v>42.035677197362297</v>
      </c>
      <c r="G21" s="1">
        <v>3.2773943326162101E-3</v>
      </c>
      <c r="H21" s="1"/>
      <c r="L21" s="1" t="s">
        <v>30</v>
      </c>
      <c r="M21" s="1">
        <v>14.6997126302309</v>
      </c>
      <c r="N21" s="1">
        <v>1.3685211862944999</v>
      </c>
      <c r="O21" s="1">
        <v>-2.7118019795334299E-3</v>
      </c>
      <c r="P21" s="1">
        <v>7.8306075113120197E-4</v>
      </c>
      <c r="Q21" s="1">
        <v>2.3747370044842202</v>
      </c>
      <c r="R21" s="1">
        <v>40.035677200001601</v>
      </c>
      <c r="S21" s="1">
        <v>3.8396871321444499E-3</v>
      </c>
    </row>
    <row r="22" spans="1:20" ht="42.75">
      <c r="A22" s="1" t="s">
        <v>31</v>
      </c>
      <c r="B22" s="1">
        <v>15.0131194102626</v>
      </c>
      <c r="C22" s="1">
        <v>1.3720964096752899</v>
      </c>
      <c r="D22" s="1">
        <v>-3.8510900675691102E-3</v>
      </c>
      <c r="E22" s="1">
        <v>2.3730155825003401</v>
      </c>
      <c r="F22" s="1">
        <v>40.091834160020099</v>
      </c>
      <c r="G22" s="1">
        <v>2.2873004957078098E-3</v>
      </c>
      <c r="H22" s="1"/>
      <c r="L22" s="1" t="s">
        <v>31</v>
      </c>
      <c r="M22" s="1">
        <v>14.8389165862786</v>
      </c>
      <c r="N22" s="1">
        <v>1.3710932691136699</v>
      </c>
      <c r="O22" s="1">
        <v>-3.85109006763474E-3</v>
      </c>
      <c r="P22" s="1">
        <v>3.6465655170874497E-4</v>
      </c>
      <c r="Q22" s="1">
        <v>2.3746602910082601</v>
      </c>
      <c r="R22" s="1">
        <v>41.198491750700697</v>
      </c>
      <c r="S22" s="1">
        <v>3.1387096096309E-3</v>
      </c>
    </row>
    <row r="23" spans="1:20" ht="42.75">
      <c r="A23" s="1" t="s">
        <v>32</v>
      </c>
      <c r="B23" s="1">
        <v>14.811961578394801</v>
      </c>
      <c r="C23" s="1">
        <v>1.3722738833503301</v>
      </c>
      <c r="D23" s="1">
        <v>-3.8595802114349299E-3</v>
      </c>
      <c r="E23" s="1">
        <v>2.37218361952762</v>
      </c>
      <c r="F23" s="1">
        <v>40.241734151279204</v>
      </c>
      <c r="G23" s="1">
        <v>2.3563193049736799E-3</v>
      </c>
      <c r="H23" s="1"/>
      <c r="L23" s="1" t="s">
        <v>32</v>
      </c>
      <c r="M23" s="1">
        <v>14.699979997150701</v>
      </c>
      <c r="N23" s="1">
        <v>1.3719132957222</v>
      </c>
      <c r="O23" s="1">
        <v>-3.85958021243952E-3</v>
      </c>
      <c r="P23" s="1">
        <v>6.0744265950530001E-4</v>
      </c>
      <c r="Q23" s="1">
        <v>2.3749411769019599</v>
      </c>
      <c r="R23" s="1">
        <v>40.120789420031699</v>
      </c>
      <c r="S23" s="1">
        <v>3.6527369043079902E-3</v>
      </c>
    </row>
    <row r="24" spans="1:20" ht="42.75">
      <c r="A24" s="1" t="s">
        <v>33</v>
      </c>
      <c r="B24" s="1">
        <v>14.838220774801099</v>
      </c>
      <c r="C24" s="1">
        <v>1.3771315368875701</v>
      </c>
      <c r="D24" s="1">
        <v>-3.5064579617793698E-3</v>
      </c>
      <c r="E24" s="1">
        <v>2.3723455757157499</v>
      </c>
      <c r="F24" s="1">
        <v>40.120129490055</v>
      </c>
      <c r="G24" s="1">
        <v>2.2873004957038802E-3</v>
      </c>
      <c r="H24" s="1"/>
      <c r="L24" s="1" t="s">
        <v>33</v>
      </c>
      <c r="M24" s="1">
        <v>14.850825784730301</v>
      </c>
      <c r="N24" s="1">
        <v>1.37629282448768</v>
      </c>
      <c r="O24" s="1">
        <v>-3.50645796181886E-3</v>
      </c>
      <c r="P24" s="1">
        <v>7.0031802978287898E-4</v>
      </c>
      <c r="Q24" s="1">
        <v>2.3740508791747601</v>
      </c>
      <c r="R24" s="1">
        <v>40.120129490438401</v>
      </c>
      <c r="S24" s="1">
        <v>3.5621574613764698E-3</v>
      </c>
    </row>
    <row r="25" spans="1:20" ht="42.75">
      <c r="A25" s="1" t="s">
        <v>34</v>
      </c>
      <c r="B25" s="1">
        <v>14.8799215035865</v>
      </c>
      <c r="C25" s="1">
        <v>1.37558121653367</v>
      </c>
      <c r="D25" s="1">
        <v>-3.4851377922430599E-3</v>
      </c>
      <c r="E25" s="1">
        <v>2.3759362589532902</v>
      </c>
      <c r="F25" s="1">
        <v>40.134249210077499</v>
      </c>
      <c r="G25" s="1">
        <v>2.2873004957016498E-3</v>
      </c>
      <c r="H25" s="1"/>
      <c r="L25" s="1" t="s">
        <v>34</v>
      </c>
      <c r="M25" s="1">
        <v>14.670319134048301</v>
      </c>
      <c r="N25" s="1">
        <v>1.3738876642660001</v>
      </c>
      <c r="O25" s="1">
        <v>-3.4851377922430599E-3</v>
      </c>
      <c r="P25" s="1">
        <v>4.8695532138430601E-4</v>
      </c>
      <c r="Q25" s="1">
        <v>2.3749648190085599</v>
      </c>
      <c r="R25" s="1">
        <v>40.134249210000497</v>
      </c>
      <c r="S25" s="1">
        <v>3.0446420330517599E-3</v>
      </c>
    </row>
    <row r="26" spans="1:20" ht="42.75">
      <c r="A26" s="1" t="s">
        <v>35</v>
      </c>
      <c r="B26" s="1">
        <v>14.8939719894331</v>
      </c>
      <c r="C26" s="1">
        <v>1.3754676884100101</v>
      </c>
      <c r="D26" s="1">
        <v>-3.0723009424214998E-3</v>
      </c>
      <c r="E26" s="1">
        <v>2.3777436541307901</v>
      </c>
      <c r="F26" s="1">
        <v>40.140833607208101</v>
      </c>
      <c r="G26" s="1">
        <v>2.5765476756944902E-3</v>
      </c>
      <c r="H26" s="1"/>
      <c r="L26" s="1" t="s">
        <v>35</v>
      </c>
      <c r="M26" s="1">
        <v>14.4932987574155</v>
      </c>
      <c r="N26" s="1">
        <v>1.3743278776875201</v>
      </c>
      <c r="O26" s="1">
        <v>-3.0723009424214998E-3</v>
      </c>
      <c r="P26" s="1">
        <v>7.9600177262882698E-4</v>
      </c>
      <c r="Q26" s="1">
        <v>2.3748421171457399</v>
      </c>
      <c r="R26" s="1">
        <v>40.140833600038803</v>
      </c>
      <c r="S26" s="1">
        <v>3.8989459643780501E-3</v>
      </c>
    </row>
    <row r="27" spans="1:20" ht="42.75">
      <c r="A27" s="1" t="s">
        <v>36</v>
      </c>
      <c r="B27" s="1">
        <v>14.7270416756588</v>
      </c>
      <c r="C27" s="1">
        <v>1.3825948382569999</v>
      </c>
      <c r="D27" s="1">
        <v>-3.4427038472737898E-3</v>
      </c>
      <c r="E27" s="1">
        <v>2.3760092624489499</v>
      </c>
      <c r="F27" s="1">
        <v>42.116778039851702</v>
      </c>
      <c r="G27" s="1">
        <v>3.38119583309008E-3</v>
      </c>
      <c r="H27" s="1"/>
      <c r="L27" s="1" t="s">
        <v>36</v>
      </c>
      <c r="M27" s="1">
        <v>14.716675101967301</v>
      </c>
      <c r="N27" s="1">
        <v>1.3803443937914199</v>
      </c>
      <c r="O27" s="1">
        <v>-3.5041615750560501E-3</v>
      </c>
      <c r="P27" s="1">
        <v>5.6951307497084605E-4</v>
      </c>
      <c r="Q27" s="1">
        <v>2.3754158286973701</v>
      </c>
      <c r="R27" s="1">
        <v>40.116778040000099</v>
      </c>
      <c r="S27" s="1">
        <v>3.3892285182225601E-3</v>
      </c>
    </row>
    <row r="28" spans="1:20" ht="42.75">
      <c r="A28" s="1" t="s">
        <v>37</v>
      </c>
      <c r="B28" s="1">
        <v>14.880778969601799</v>
      </c>
      <c r="C28" s="1">
        <v>1.3827252705869499</v>
      </c>
      <c r="D28" s="1">
        <v>-3.5900625078137799E-3</v>
      </c>
      <c r="E28" s="1">
        <v>2.3738096221024798</v>
      </c>
      <c r="F28" s="1">
        <v>40.075859720018599</v>
      </c>
      <c r="G28" s="1">
        <v>2.2873004957283298E-3</v>
      </c>
      <c r="H28" s="1"/>
      <c r="L28" s="1" t="s">
        <v>37</v>
      </c>
      <c r="M28" s="1">
        <v>14.7865656532696</v>
      </c>
      <c r="N28" s="1">
        <v>1.3814539815623801</v>
      </c>
      <c r="O28" s="1">
        <v>-3.5900625334002799E-3</v>
      </c>
      <c r="P28" s="1">
        <v>2.6859234528321598E-4</v>
      </c>
      <c r="Q28" s="1">
        <v>2.37466815877695</v>
      </c>
      <c r="R28" s="1">
        <v>40.075859727511002</v>
      </c>
      <c r="S28" s="1">
        <v>2.88942666959557E-3</v>
      </c>
    </row>
    <row r="29" spans="1:20" ht="42.75">
      <c r="A29" s="1" t="s">
        <v>38</v>
      </c>
      <c r="B29" s="1">
        <v>14.8237912164245</v>
      </c>
      <c r="C29" s="1">
        <v>1.3808396175158</v>
      </c>
      <c r="D29" s="1">
        <v>-3.7188642891489501E-3</v>
      </c>
      <c r="E29" s="1">
        <v>2.3784914641534098</v>
      </c>
      <c r="F29" s="1">
        <v>41.064873074621097</v>
      </c>
      <c r="G29" s="1">
        <v>2.4042735617825898E-3</v>
      </c>
      <c r="H29" s="1"/>
      <c r="L29" s="1" t="s">
        <v>38</v>
      </c>
      <c r="M29" s="1">
        <v>14.721736741178701</v>
      </c>
      <c r="N29" s="1">
        <v>1.3801705087021201</v>
      </c>
      <c r="O29" s="1">
        <v>-3.7188642891489501E-3</v>
      </c>
      <c r="P29" s="1">
        <v>6.2834482166534695E-4</v>
      </c>
      <c r="Q29" s="1">
        <v>2.3750390168334001</v>
      </c>
      <c r="R29" s="1">
        <v>40.091726580007901</v>
      </c>
      <c r="S29" s="1">
        <v>3.3432688062379999E-3</v>
      </c>
    </row>
    <row r="30" spans="1:20" ht="42.75">
      <c r="A30" s="1" t="s">
        <v>39</v>
      </c>
      <c r="B30" s="1">
        <v>14.758704239534</v>
      </c>
      <c r="C30" s="1">
        <v>1.38471298110957</v>
      </c>
      <c r="D30" s="1">
        <v>-3.5315959380545501E-3</v>
      </c>
      <c r="E30" s="1">
        <v>2.3780510795429999</v>
      </c>
      <c r="F30" s="1">
        <v>39.707268294909902</v>
      </c>
      <c r="G30" s="1">
        <v>2.2873004957217201E-3</v>
      </c>
      <c r="H30" s="1"/>
      <c r="L30" s="1" t="s">
        <v>39</v>
      </c>
      <c r="M30" s="1">
        <v>14.8048373114146</v>
      </c>
      <c r="N30" s="1">
        <v>1.3836970543293701</v>
      </c>
      <c r="O30" s="1">
        <v>-3.55138990558073E-3</v>
      </c>
      <c r="P30" s="1">
        <v>5.2271857294870696E-4</v>
      </c>
      <c r="Q30" s="1">
        <v>2.37486792529169</v>
      </c>
      <c r="R30" s="1">
        <v>39.707268290055303</v>
      </c>
      <c r="S30" s="1">
        <v>3.0080210043196901E-3</v>
      </c>
    </row>
    <row r="31" spans="1:20" ht="42.75">
      <c r="A31" s="1" t="s">
        <v>40</v>
      </c>
      <c r="B31" s="1">
        <v>14.484299654433</v>
      </c>
      <c r="C31" s="1">
        <v>1.38106692585319</v>
      </c>
      <c r="D31" s="1">
        <v>-1.0751690803888999E-3</v>
      </c>
      <c r="E31" s="1">
        <v>2.3759989973564899</v>
      </c>
      <c r="F31" s="1">
        <v>39.712873250000101</v>
      </c>
      <c r="G31" s="1">
        <v>2.2873004957083901E-3</v>
      </c>
      <c r="H31" s="1"/>
      <c r="L31" s="1" t="s">
        <v>40</v>
      </c>
      <c r="M31" s="1">
        <v>14.729578883481601</v>
      </c>
      <c r="N31" s="1">
        <v>1.3830240715550299</v>
      </c>
      <c r="O31" s="1">
        <v>-4.2437939183158696E-3</v>
      </c>
      <c r="P31" s="1">
        <v>-1.5166555182818901E-4</v>
      </c>
      <c r="Q31" s="1">
        <v>2.37509266936868</v>
      </c>
      <c r="R31" s="1">
        <v>39.712873250011803</v>
      </c>
      <c r="S31" s="1">
        <v>2.2873004957014199E-3</v>
      </c>
    </row>
    <row r="32" spans="1:20" ht="42.75">
      <c r="A32" s="1" t="s">
        <v>41</v>
      </c>
      <c r="B32" s="1">
        <v>14.9651380437949</v>
      </c>
      <c r="C32" s="1">
        <v>1.38188342216533</v>
      </c>
      <c r="D32" s="1">
        <v>-3.6234581140361598E-3</v>
      </c>
      <c r="E32" s="1">
        <v>2.3774394255240701</v>
      </c>
      <c r="F32" s="1">
        <v>39.754140910000402</v>
      </c>
      <c r="G32" s="1">
        <v>2.28730049570141E-3</v>
      </c>
      <c r="H32" s="1"/>
      <c r="L32" s="1" t="s">
        <v>41</v>
      </c>
      <c r="M32" s="1">
        <v>14.7880280563038</v>
      </c>
      <c r="N32" s="1">
        <v>1.3807511366098499</v>
      </c>
      <c r="O32" s="1">
        <v>-3.6234581140455698E-3</v>
      </c>
      <c r="P32" s="1">
        <v>4.2751152495895699E-4</v>
      </c>
      <c r="Q32" s="1">
        <v>2.3760703570380399</v>
      </c>
      <c r="R32" s="1">
        <v>39.7541409100062</v>
      </c>
      <c r="S32" s="1">
        <v>2.62505258179596E-3</v>
      </c>
    </row>
    <row r="33" spans="1:19" ht="42.75">
      <c r="A33" s="1" t="s">
        <v>42</v>
      </c>
      <c r="B33" s="1">
        <v>14.874006519279099</v>
      </c>
      <c r="C33" s="1">
        <v>1.3809692648401799</v>
      </c>
      <c r="D33" s="1">
        <v>-3.5831549458077102E-3</v>
      </c>
      <c r="E33" s="1">
        <v>2.3773084852797202</v>
      </c>
      <c r="F33" s="1">
        <v>39.774286213945501</v>
      </c>
      <c r="G33" s="1">
        <v>2.28730049855782E-3</v>
      </c>
      <c r="H33" s="1"/>
      <c r="L33" s="1" t="s">
        <v>42</v>
      </c>
      <c r="M33" s="1">
        <v>14.7458143243305</v>
      </c>
      <c r="N33" s="1">
        <v>1.3797157584905799</v>
      </c>
      <c r="O33" s="1">
        <v>-3.5831549458077102E-3</v>
      </c>
      <c r="P33" s="1">
        <v>5.9630831214409804E-4</v>
      </c>
      <c r="Q33" s="1">
        <v>2.37560824904658</v>
      </c>
      <c r="R33" s="1">
        <v>39.774286210007901</v>
      </c>
      <c r="S33" s="1">
        <v>3.0785269283661498E-3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43</v>
      </c>
      <c r="B2" s="1">
        <v>0.23725917020158799</v>
      </c>
      <c r="C2" s="1">
        <v>1.6376490216120201</v>
      </c>
      <c r="D2" s="1">
        <v>8.9179105532165705E-4</v>
      </c>
      <c r="E2" s="1">
        <v>-1.61335245672263E-4</v>
      </c>
      <c r="F2" s="1">
        <v>2.3354584771747402</v>
      </c>
      <c r="G2" s="1">
        <v>40.091988820054098</v>
      </c>
      <c r="H2" s="1">
        <v>5.7857693435121405E-4</v>
      </c>
      <c r="L2" s="1"/>
      <c r="M2" s="1"/>
      <c r="N2" s="1"/>
      <c r="O2" s="1"/>
      <c r="P2" s="1"/>
      <c r="Q2" s="1"/>
      <c r="R2" s="1"/>
      <c r="S2" s="1"/>
      <c r="T2" s="1"/>
    </row>
    <row r="3" spans="1:20" ht="42.75">
      <c r="A3" s="1" t="s">
        <v>11</v>
      </c>
      <c r="B3" s="1">
        <v>0.23946128860629701</v>
      </c>
      <c r="C3" s="1">
        <v>1.6378728096280399</v>
      </c>
      <c r="D3" s="1">
        <v>9.0089637621361201E-4</v>
      </c>
      <c r="E3" s="1">
        <v>-1.6684576961520701E-4</v>
      </c>
      <c r="F3" s="1">
        <v>2.3367469044514602</v>
      </c>
      <c r="G3" s="1">
        <v>40.095078067274898</v>
      </c>
      <c r="H3" s="1">
        <v>5.8593524666748797E-4</v>
      </c>
      <c r="L3" s="1"/>
    </row>
    <row r="4" spans="1:20" ht="42.75">
      <c r="A4" s="1" t="s">
        <v>12</v>
      </c>
      <c r="B4" s="1">
        <v>0.24067136591591201</v>
      </c>
      <c r="C4" s="1">
        <v>1.63727002952694</v>
      </c>
      <c r="D4" s="1">
        <v>8.7016741692415398E-4</v>
      </c>
      <c r="E4" s="1">
        <v>-1.5613644000488501E-4</v>
      </c>
      <c r="F4" s="1">
        <v>2.3298947071947098</v>
      </c>
      <c r="G4" s="1">
        <v>40.091612468361298</v>
      </c>
      <c r="H4" s="1">
        <v>6.2673425693660805E-4</v>
      </c>
    </row>
    <row r="5" spans="1:20" ht="42.75">
      <c r="A5" s="1" t="s">
        <v>13</v>
      </c>
      <c r="B5" s="1">
        <v>0.241804540636641</v>
      </c>
      <c r="C5" s="1">
        <v>1.6380962509954</v>
      </c>
      <c r="D5" s="1">
        <v>5.67567352275153E-4</v>
      </c>
      <c r="E5" s="1">
        <v>-1.18207923658692E-4</v>
      </c>
      <c r="F5" s="1">
        <v>2.33205442074946</v>
      </c>
      <c r="G5" s="1">
        <v>42.093571286415099</v>
      </c>
      <c r="H5" s="1">
        <v>5.7874233168731903E-4</v>
      </c>
    </row>
    <row r="6" spans="1:20" ht="42.75">
      <c r="A6" s="1" t="s">
        <v>14</v>
      </c>
      <c r="B6" s="1">
        <v>0.237876942608618</v>
      </c>
      <c r="C6" s="1">
        <v>1.6373745568037299</v>
      </c>
      <c r="D6" s="1">
        <v>1.01414313923516E-3</v>
      </c>
      <c r="E6" s="1">
        <v>-1.7445375726714201E-4</v>
      </c>
      <c r="F6" s="1">
        <v>2.3311970943898301</v>
      </c>
      <c r="G6" s="1">
        <v>42.095230474211903</v>
      </c>
      <c r="H6" s="1">
        <v>1.09951560241318E-3</v>
      </c>
    </row>
    <row r="7" spans="1:20" ht="42.75">
      <c r="A7" s="1" t="s">
        <v>15</v>
      </c>
      <c r="B7" s="1">
        <v>0.24177140642297701</v>
      </c>
      <c r="C7" s="1">
        <v>1.63973126098792</v>
      </c>
      <c r="D7" s="1">
        <v>8.91327006861021E-4</v>
      </c>
      <c r="E7" s="1">
        <v>-1.6696272375684701E-4</v>
      </c>
      <c r="F7" s="1">
        <v>2.8375076767089902</v>
      </c>
      <c r="G7" s="1">
        <v>40.638342633293</v>
      </c>
      <c r="H7" s="1">
        <v>6.3581866245494703E-4</v>
      </c>
    </row>
    <row r="8" spans="1:20" ht="42.75">
      <c r="A8" s="1" t="s">
        <v>16</v>
      </c>
      <c r="B8" s="1">
        <v>0.24611015618375001</v>
      </c>
      <c r="C8" s="1">
        <v>1.6397421823445</v>
      </c>
      <c r="D8" s="1">
        <v>7.8600951097871697E-4</v>
      </c>
      <c r="E8" s="1">
        <v>-1.5147018449857E-4</v>
      </c>
      <c r="F8" s="1">
        <v>2.8343676404376699</v>
      </c>
      <c r="G8" s="1">
        <v>41.804273143598898</v>
      </c>
      <c r="H8" s="1">
        <v>1.15715386811619E-3</v>
      </c>
    </row>
    <row r="9" spans="1:20" ht="42.75">
      <c r="A9" s="1" t="s">
        <v>44</v>
      </c>
      <c r="B9" s="1">
        <v>0.24836581662806301</v>
      </c>
      <c r="C9" s="1">
        <v>1.6394690601924899</v>
      </c>
      <c r="D9" s="1">
        <v>6.1492935417479003E-4</v>
      </c>
      <c r="E9" s="1">
        <v>-1.19833693666735E-4</v>
      </c>
      <c r="F9" s="1">
        <v>2.8450772197855598</v>
      </c>
      <c r="G9" s="1">
        <v>41.793413739997398</v>
      </c>
      <c r="H9" s="1">
        <v>1.1571538686288799E-3</v>
      </c>
    </row>
    <row r="10" spans="1:20" ht="42.75">
      <c r="A10" s="1" t="s">
        <v>17</v>
      </c>
      <c r="B10" s="1">
        <v>0.24482638982888399</v>
      </c>
      <c r="C10" s="1">
        <v>1.63902366797903</v>
      </c>
      <c r="D10" s="1">
        <v>9.2711738594498201E-4</v>
      </c>
      <c r="E10" s="1">
        <v>-1.73228819386054E-4</v>
      </c>
      <c r="F10" s="1">
        <v>2.83607776826365</v>
      </c>
      <c r="G10" s="1">
        <v>41.8612136216369</v>
      </c>
      <c r="H10" s="1">
        <v>7.5939016985584801E-4</v>
      </c>
    </row>
    <row r="11" spans="1:20" ht="42.75">
      <c r="A11" s="1" t="s">
        <v>18</v>
      </c>
      <c r="B11" s="1">
        <v>0.24047022478348701</v>
      </c>
      <c r="C11" s="1">
        <v>1.6386462593553499</v>
      </c>
      <c r="D11" s="1">
        <v>8.35158479576001E-4</v>
      </c>
      <c r="E11" s="1">
        <v>-1.5138136633242099E-4</v>
      </c>
      <c r="F11" s="1">
        <v>2.8432172581279702</v>
      </c>
      <c r="G11" s="1">
        <v>39.968111084499398</v>
      </c>
      <c r="H11" s="1">
        <v>5.7859021000752605E-4</v>
      </c>
    </row>
    <row r="12" spans="1:20" ht="42.75">
      <c r="A12" s="1" t="s">
        <v>19</v>
      </c>
      <c r="B12" s="1">
        <v>0.24076714972723101</v>
      </c>
      <c r="C12" s="1">
        <v>1.63946394132843</v>
      </c>
      <c r="D12" s="1">
        <v>7.0451445640024501E-4</v>
      </c>
      <c r="E12" s="1">
        <v>-1.3971637599447599E-4</v>
      </c>
      <c r="F12" s="1">
        <v>2.58048611129137</v>
      </c>
      <c r="G12" s="1">
        <v>39.870159980037599</v>
      </c>
      <c r="H12" s="1">
        <v>5.78576934323728E-4</v>
      </c>
    </row>
    <row r="13" spans="1:20" ht="42.75">
      <c r="A13" s="1" t="s">
        <v>20</v>
      </c>
      <c r="B13" s="1">
        <v>0.244370206125226</v>
      </c>
      <c r="C13" s="1">
        <v>1.6392520427363999</v>
      </c>
      <c r="D13" s="1">
        <v>4.02607014106185E-4</v>
      </c>
      <c r="E13" s="1">
        <v>-1.05762269054365E-4</v>
      </c>
      <c r="F13" s="1">
        <v>2.5849525581868602</v>
      </c>
      <c r="G13" s="1">
        <v>41.882475946073399</v>
      </c>
      <c r="H13" s="1">
        <v>1.1570448009234899E-3</v>
      </c>
    </row>
    <row r="14" spans="1:20" ht="42.75">
      <c r="A14" s="1" t="s">
        <v>21</v>
      </c>
      <c r="B14" s="1">
        <v>0.24313993631303599</v>
      </c>
      <c r="C14" s="1">
        <v>1.6379945128323701</v>
      </c>
      <c r="D14" s="1">
        <v>6.5456405033687405E-4</v>
      </c>
      <c r="E14" s="1">
        <v>-1.1947776856163801E-4</v>
      </c>
      <c r="F14" s="1">
        <v>2.33567611121918</v>
      </c>
      <c r="G14" s="1">
        <v>42.008892250618999</v>
      </c>
      <c r="H14" s="1">
        <v>5.8073835085585503E-4</v>
      </c>
    </row>
    <row r="15" spans="1:20" ht="42.75">
      <c r="A15" s="1" t="s">
        <v>45</v>
      </c>
      <c r="B15" s="1">
        <v>0.24566926157477501</v>
      </c>
      <c r="C15" s="1">
        <v>1.63831381173806</v>
      </c>
      <c r="D15" s="1">
        <v>9.0897731053219603E-4</v>
      </c>
      <c r="E15" s="1">
        <v>-1.9209123026674599E-4</v>
      </c>
      <c r="F15" s="1">
        <v>2.33294925136763</v>
      </c>
      <c r="G15" s="1">
        <v>42.054893409959703</v>
      </c>
      <c r="H15" s="1">
        <v>1.1571538686315499E-3</v>
      </c>
    </row>
    <row r="16" spans="1:20" ht="42.75">
      <c r="A16" s="1" t="s">
        <v>22</v>
      </c>
      <c r="B16" s="1">
        <v>0.240076934656237</v>
      </c>
      <c r="C16" s="1">
        <v>1.63797849213362</v>
      </c>
      <c r="D16" s="1">
        <v>6.9708320976432996E-4</v>
      </c>
      <c r="E16" s="1">
        <v>-1.32918666266622E-4</v>
      </c>
      <c r="F16" s="1">
        <v>2.3411500518513502</v>
      </c>
      <c r="G16" s="1">
        <v>40.051454151721501</v>
      </c>
      <c r="H16" s="1">
        <v>5.91363207064326E-4</v>
      </c>
    </row>
    <row r="17" spans="1:8" ht="42.75">
      <c r="A17" s="1" t="s">
        <v>23</v>
      </c>
      <c r="B17" s="1">
        <v>0.242245334794052</v>
      </c>
      <c r="C17" s="1">
        <v>1.63822780867857</v>
      </c>
      <c r="D17" s="1">
        <v>4.2288453917969601E-4</v>
      </c>
      <c r="E17" s="2">
        <v>-9.6062396806626405E-5</v>
      </c>
      <c r="F17" s="1">
        <v>2.3411414391354799</v>
      </c>
      <c r="G17" s="1">
        <v>42.070804530550099</v>
      </c>
      <c r="H17" s="1">
        <v>1.14969131569605E-3</v>
      </c>
    </row>
    <row r="18" spans="1:8" ht="42.75">
      <c r="A18" s="1" t="s">
        <v>24</v>
      </c>
      <c r="B18" s="1">
        <v>0.24081642222489599</v>
      </c>
      <c r="C18" s="1">
        <v>1.63792135194194</v>
      </c>
      <c r="D18" s="1">
        <v>9.9153848789813393E-4</v>
      </c>
      <c r="E18" s="1">
        <v>-1.8679329970240101E-4</v>
      </c>
      <c r="F18" s="1">
        <v>2.3319562990449501</v>
      </c>
      <c r="G18" s="1">
        <v>42.072040551763699</v>
      </c>
      <c r="H18" s="1">
        <v>1.1409736711555801E-3</v>
      </c>
    </row>
    <row r="19" spans="1:8" ht="42.75">
      <c r="A19" s="1" t="s">
        <v>25</v>
      </c>
      <c r="B19" s="1">
        <v>0.241838145831969</v>
      </c>
      <c r="C19" s="1">
        <v>1.6377613554099699</v>
      </c>
      <c r="D19" s="1">
        <v>8.3643894137643698E-4</v>
      </c>
      <c r="E19" s="1">
        <v>-1.60225705311503E-4</v>
      </c>
      <c r="F19" s="1">
        <v>2.0849688139648701</v>
      </c>
      <c r="G19" s="1">
        <v>42.045410379895202</v>
      </c>
      <c r="H19" s="1">
        <v>1.1571538686113399E-3</v>
      </c>
    </row>
    <row r="20" spans="1:8" ht="42.75">
      <c r="A20" s="1" t="s">
        <v>26</v>
      </c>
      <c r="B20" s="1">
        <v>0.24402502768845699</v>
      </c>
      <c r="C20" s="1">
        <v>1.63729486559967</v>
      </c>
      <c r="D20" s="1">
        <v>8.9530721302994798E-4</v>
      </c>
      <c r="E20" s="1">
        <v>-1.63301789876871E-4</v>
      </c>
      <c r="F20" s="1">
        <v>2.3365195786397801</v>
      </c>
      <c r="G20" s="1">
        <v>42.054785983188403</v>
      </c>
      <c r="H20" s="1">
        <v>1.10241531123759E-3</v>
      </c>
    </row>
    <row r="21" spans="1:8" ht="42.75">
      <c r="A21" s="1" t="s">
        <v>27</v>
      </c>
      <c r="B21" s="1">
        <v>0.23989744417664499</v>
      </c>
      <c r="C21" s="1">
        <v>1.63697775551695</v>
      </c>
      <c r="D21" s="1">
        <v>7.2850898975200605E-4</v>
      </c>
      <c r="E21" s="1">
        <v>-1.6413815145324901E-4</v>
      </c>
      <c r="F21" s="1">
        <v>2.08580583256082</v>
      </c>
      <c r="G21" s="1">
        <v>40.0704430014991</v>
      </c>
      <c r="H21" s="1">
        <v>5.7857693735988602E-4</v>
      </c>
    </row>
    <row r="22" spans="1:8" ht="42.75">
      <c r="A22" s="1" t="s">
        <v>28</v>
      </c>
      <c r="B22" s="1">
        <v>0.240176182150968</v>
      </c>
      <c r="C22" s="1">
        <v>1.63811013352492</v>
      </c>
      <c r="D22" s="1">
        <v>4.0215200831353998E-4</v>
      </c>
      <c r="E22" s="1">
        <v>-1.15890945355086E-4</v>
      </c>
      <c r="F22" s="1">
        <v>2.3367464609344699</v>
      </c>
      <c r="G22" s="1">
        <v>42.041869088537197</v>
      </c>
      <c r="H22" s="1">
        <v>5.9115098340453004E-4</v>
      </c>
    </row>
    <row r="23" spans="1:8" ht="42.75">
      <c r="A23" s="1" t="s">
        <v>29</v>
      </c>
      <c r="B23" s="1">
        <v>0.238939795428251</v>
      </c>
      <c r="C23" s="1">
        <v>1.6373531070645799</v>
      </c>
      <c r="D23" s="1">
        <v>3.46418954883063E-4</v>
      </c>
      <c r="E23" s="1">
        <v>-1.0267007351586101E-4</v>
      </c>
      <c r="F23" s="1">
        <v>2.3299869435926799</v>
      </c>
      <c r="G23" s="1">
        <v>40.573640945582703</v>
      </c>
      <c r="H23" s="1">
        <v>1.1059076735994201E-3</v>
      </c>
    </row>
    <row r="24" spans="1:8" ht="42.75">
      <c r="A24" s="1" t="s">
        <v>30</v>
      </c>
      <c r="B24" s="1">
        <v>0.23962573892411401</v>
      </c>
      <c r="C24" s="1">
        <v>1.63685185600675</v>
      </c>
      <c r="D24" s="1">
        <v>2.3780502587511599E-4</v>
      </c>
      <c r="E24" s="2">
        <v>-7.07475117190789E-5</v>
      </c>
      <c r="F24" s="1">
        <v>2.0810018656434099</v>
      </c>
      <c r="G24" s="1">
        <v>42.068490990083603</v>
      </c>
      <c r="H24" s="1">
        <v>1.1432890877216501E-3</v>
      </c>
    </row>
    <row r="25" spans="1:8" ht="42.75">
      <c r="A25" s="1" t="s">
        <v>46</v>
      </c>
      <c r="B25" s="1">
        <v>0.23658484868902599</v>
      </c>
      <c r="C25" s="1">
        <v>1.6371548322001299</v>
      </c>
      <c r="D25" s="1">
        <v>3.0217562927502799E-4</v>
      </c>
      <c r="E25" s="2">
        <v>-5.8839356696227199E-5</v>
      </c>
      <c r="F25" s="1">
        <v>2.0840018151736799</v>
      </c>
      <c r="G25" s="1">
        <v>40.049135829493899</v>
      </c>
      <c r="H25" s="1">
        <v>6.6760257531871205E-4</v>
      </c>
    </row>
    <row r="26" spans="1:8" ht="42.75">
      <c r="A26" s="1" t="s">
        <v>31</v>
      </c>
      <c r="B26" s="1">
        <v>0.24176111907040099</v>
      </c>
      <c r="C26" s="1">
        <v>1.6374499229734401</v>
      </c>
      <c r="D26" s="1">
        <v>5.3462961120426104E-4</v>
      </c>
      <c r="E26" s="1">
        <v>-1.4120728390661099E-4</v>
      </c>
      <c r="F26" s="1">
        <v>2.0832598592781899</v>
      </c>
      <c r="G26" s="1">
        <v>42.071621556275097</v>
      </c>
      <c r="H26" s="1">
        <v>6.2150874899561705E-4</v>
      </c>
    </row>
    <row r="27" spans="1:8" ht="42.75">
      <c r="A27" s="1" t="s">
        <v>47</v>
      </c>
      <c r="B27" s="1">
        <v>0.234268605720482</v>
      </c>
      <c r="C27" s="1">
        <v>1.6369895349680801</v>
      </c>
      <c r="D27" s="1">
        <v>6.3621018947729205E-4</v>
      </c>
      <c r="E27" s="1">
        <v>-1.43181239662911E-4</v>
      </c>
      <c r="F27" s="1">
        <v>2.07567372917201</v>
      </c>
      <c r="G27" s="1">
        <v>40.125483243566499</v>
      </c>
      <c r="H27" s="1">
        <v>5.7857695370425297E-4</v>
      </c>
    </row>
    <row r="28" spans="1:8" ht="42.75">
      <c r="A28" s="1" t="s">
        <v>48</v>
      </c>
      <c r="B28" s="1">
        <v>0.24507212888838401</v>
      </c>
      <c r="C28" s="1">
        <v>1.6368954415546499</v>
      </c>
      <c r="D28" s="1">
        <v>4.2034727354926002E-4</v>
      </c>
      <c r="E28" s="1">
        <v>-1.07661183982515E-4</v>
      </c>
      <c r="F28" s="1">
        <v>2.0850214868595902</v>
      </c>
      <c r="G28" s="1">
        <v>42.117992699289601</v>
      </c>
      <c r="H28" s="1">
        <v>1.1100766801579701E-3</v>
      </c>
    </row>
    <row r="29" spans="1:8" ht="42.75">
      <c r="A29" s="1" t="s">
        <v>32</v>
      </c>
      <c r="B29" s="1">
        <v>0.24348653683848701</v>
      </c>
      <c r="C29" s="1">
        <v>1.6372319070597601</v>
      </c>
      <c r="D29" s="1">
        <v>6.4520369959480202E-4</v>
      </c>
      <c r="E29" s="1">
        <v>-1.3973203267762701E-4</v>
      </c>
      <c r="F29" s="1">
        <v>2.3298647828759802</v>
      </c>
      <c r="G29" s="1">
        <v>42.126773840429401</v>
      </c>
      <c r="H29" s="1">
        <v>1.1308170728602501E-3</v>
      </c>
    </row>
    <row r="30" spans="1:8" ht="42.75">
      <c r="A30" s="1" t="s">
        <v>33</v>
      </c>
      <c r="B30" s="1">
        <v>0.24073031648363399</v>
      </c>
      <c r="C30" s="1">
        <v>1.63758083008796</v>
      </c>
      <c r="D30" s="1">
        <v>3.6233736528041102E-4</v>
      </c>
      <c r="E30" s="2">
        <v>-4.75518101038808E-5</v>
      </c>
      <c r="F30" s="1">
        <v>2.3399913985596301</v>
      </c>
      <c r="G30" s="1">
        <v>40.133003955025004</v>
      </c>
      <c r="H30" s="1">
        <v>6.0098511747102104E-4</v>
      </c>
    </row>
    <row r="31" spans="1:8" ht="42.75">
      <c r="A31" s="1" t="s">
        <v>34</v>
      </c>
      <c r="B31" s="1">
        <v>0.24558776594854301</v>
      </c>
      <c r="C31" s="1">
        <v>1.63775857963088</v>
      </c>
      <c r="D31" s="1">
        <v>1.1264747249499899E-3</v>
      </c>
      <c r="E31" s="1">
        <v>-2.4644370965250202E-4</v>
      </c>
      <c r="F31" s="1">
        <v>2.3324621589064098</v>
      </c>
      <c r="G31" s="1">
        <v>42.143520619939899</v>
      </c>
      <c r="H31" s="1">
        <v>1.1571538684790499E-3</v>
      </c>
    </row>
    <row r="32" spans="1:8" ht="42.75">
      <c r="A32" s="1" t="s">
        <v>35</v>
      </c>
      <c r="B32" s="1">
        <v>0.239185337596831</v>
      </c>
      <c r="C32" s="1">
        <v>1.6378281358050899</v>
      </c>
      <c r="D32" s="1">
        <v>5.2749834767522503E-4</v>
      </c>
      <c r="E32" s="1">
        <v>-1.2714862603044601E-4</v>
      </c>
      <c r="F32" s="1">
        <v>2.08326862519881</v>
      </c>
      <c r="G32" s="1">
        <v>40.377387368359301</v>
      </c>
      <c r="H32" s="1">
        <v>9.0277714328269604E-4</v>
      </c>
    </row>
    <row r="33" spans="1:8" ht="42.75">
      <c r="A33" s="1" t="s">
        <v>36</v>
      </c>
      <c r="B33" s="1">
        <v>0.241717931493385</v>
      </c>
      <c r="C33" s="1">
        <v>1.63830534985225</v>
      </c>
      <c r="D33" s="1">
        <v>2.8865846707883E-4</v>
      </c>
      <c r="E33" s="2">
        <v>-8.7247826699332796E-5</v>
      </c>
      <c r="F33" s="1">
        <v>2.0844439834442698</v>
      </c>
      <c r="G33" s="1">
        <v>42.128451329986703</v>
      </c>
      <c r="H33" s="1">
        <v>1.1571538686322299E-3</v>
      </c>
    </row>
    <row r="34" spans="1:8" ht="42.75">
      <c r="A34" s="1" t="s">
        <v>49</v>
      </c>
      <c r="B34" s="1">
        <v>0.248030538083963</v>
      </c>
      <c r="C34" s="1">
        <v>1.63786322078624</v>
      </c>
      <c r="D34" s="1">
        <v>9.04672539934568E-4</v>
      </c>
      <c r="E34" s="1">
        <v>-1.8379196654443701E-4</v>
      </c>
      <c r="F34" s="1">
        <v>2.3332454448473201</v>
      </c>
      <c r="G34" s="1">
        <v>42.123887279037902</v>
      </c>
      <c r="H34" s="1">
        <v>1.15715386472087E-3</v>
      </c>
    </row>
    <row r="35" spans="1:8" ht="42.75">
      <c r="A35" s="1" t="s">
        <v>37</v>
      </c>
      <c r="B35" s="1">
        <v>0.24138266998260599</v>
      </c>
      <c r="C35" s="1">
        <v>1.63774305575073</v>
      </c>
      <c r="D35" s="1">
        <v>6.9797905754433295E-4</v>
      </c>
      <c r="E35" s="1">
        <v>-1.3211960587134801E-4</v>
      </c>
      <c r="F35" s="1">
        <v>2.3381385930730199</v>
      </c>
      <c r="G35" s="1">
        <v>40.998909062282102</v>
      </c>
      <c r="H35" s="1">
        <v>5.7866273611661002E-4</v>
      </c>
    </row>
    <row r="36" spans="1:8" ht="42.75">
      <c r="A36" s="1" t="s">
        <v>38</v>
      </c>
      <c r="B36" s="1">
        <v>0.24367652321245201</v>
      </c>
      <c r="C36" s="1">
        <v>1.6394982013313899</v>
      </c>
      <c r="D36" s="1">
        <v>2.11610820118892E-4</v>
      </c>
      <c r="E36" s="1">
        <v>-1.08714398960041E-4</v>
      </c>
      <c r="F36" s="1">
        <v>2.3355072608878098</v>
      </c>
      <c r="G36" s="1">
        <v>42.114572059890399</v>
      </c>
      <c r="H36" s="1">
        <v>1.15715386850948E-3</v>
      </c>
    </row>
    <row r="37" spans="1:8" ht="42.75">
      <c r="A37" s="1" t="s">
        <v>39</v>
      </c>
      <c r="B37" s="1">
        <v>0.23820566920665201</v>
      </c>
      <c r="C37" s="1">
        <v>1.6400105828473901</v>
      </c>
      <c r="D37" s="1">
        <v>7.3812888512462204E-4</v>
      </c>
      <c r="E37" s="1">
        <v>-1.6798555715021401E-4</v>
      </c>
      <c r="F37" s="1">
        <v>2.8371555212800699</v>
      </c>
      <c r="G37" s="1">
        <v>39.730705860004001</v>
      </c>
      <c r="H37" s="1">
        <v>5.7857693432133799E-4</v>
      </c>
    </row>
    <row r="38" spans="1:8" ht="42.75">
      <c r="A38" s="1" t="s">
        <v>40</v>
      </c>
      <c r="B38" s="1">
        <v>0.23716854436609899</v>
      </c>
      <c r="C38" s="1">
        <v>1.6393556769962601</v>
      </c>
      <c r="D38" s="1">
        <v>7.3528466493581702E-4</v>
      </c>
      <c r="E38" s="1">
        <v>-1.48458244960722E-4</v>
      </c>
      <c r="F38" s="1">
        <v>3.0883947615226899</v>
      </c>
      <c r="G38" s="1">
        <v>39.701023050000003</v>
      </c>
      <c r="H38" s="1">
        <v>5.7857693431706699E-4</v>
      </c>
    </row>
    <row r="39" spans="1:8" ht="42.75">
      <c r="A39" s="1" t="s">
        <v>41</v>
      </c>
      <c r="B39" s="1">
        <v>0.24334889035587701</v>
      </c>
      <c r="C39" s="1">
        <v>1.6407909059237999</v>
      </c>
      <c r="D39" s="1">
        <v>5.9074321809762505E-4</v>
      </c>
      <c r="E39" s="1">
        <v>-1.35584487248886E-4</v>
      </c>
      <c r="F39" s="1">
        <v>2.8361075315615398</v>
      </c>
      <c r="G39" s="1">
        <v>39.757099040003602</v>
      </c>
      <c r="H39" s="1">
        <v>5.7857693434177498E-4</v>
      </c>
    </row>
    <row r="40" spans="1:8" ht="42.75">
      <c r="A40" s="1" t="s">
        <v>42</v>
      </c>
      <c r="B40" s="1">
        <v>0.24139693907330401</v>
      </c>
      <c r="C40" s="1">
        <v>1.63977771299502</v>
      </c>
      <c r="D40" s="1">
        <v>9.5658501310048297E-4</v>
      </c>
      <c r="E40" s="1">
        <v>-1.86349112233523E-4</v>
      </c>
      <c r="F40" s="1">
        <v>2.8345728864807498</v>
      </c>
      <c r="G40" s="1">
        <v>41.646800899499503</v>
      </c>
      <c r="H40" s="1">
        <v>5.82378838879387E-4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I33"/>
  <sheetViews>
    <sheetView workbookViewId="0">
      <selection activeCell="H5" sqref="H5"/>
    </sheetView>
  </sheetViews>
  <sheetFormatPr defaultRowHeight="14.25"/>
  <sheetData>
    <row r="1" spans="1:9">
      <c r="A1" s="1" t="s">
        <v>0</v>
      </c>
      <c r="B1" s="1" t="s">
        <v>4</v>
      </c>
      <c r="C1" s="1" t="s">
        <v>4</v>
      </c>
    </row>
    <row r="2" spans="1:9" ht="42.75">
      <c r="A2" s="1" t="s">
        <v>39</v>
      </c>
      <c r="B2" s="1">
        <v>14.758704239534</v>
      </c>
      <c r="C2" s="1">
        <v>0.23820566920665201</v>
      </c>
      <c r="H2">
        <v>894</v>
      </c>
      <c r="I2">
        <v>456</v>
      </c>
    </row>
    <row r="3" spans="1:9" ht="42.75">
      <c r="A3" s="1" t="s">
        <v>40</v>
      </c>
      <c r="B3" s="1">
        <v>14.484299654433</v>
      </c>
      <c r="C3" s="1">
        <v>0.23716854436609899</v>
      </c>
      <c r="G3" t="s">
        <v>1</v>
      </c>
      <c r="H3">
        <f>AVERAGE(B2:B36)</f>
        <v>14.765901901229173</v>
      </c>
      <c r="I3">
        <f>AVERAGE(C2:C36)</f>
        <v>0.2414549648954975</v>
      </c>
    </row>
    <row r="4" spans="1:9" ht="42.75">
      <c r="A4" s="1" t="s">
        <v>41</v>
      </c>
      <c r="B4" s="1">
        <v>14.9651380437949</v>
      </c>
      <c r="C4" s="1">
        <v>0.24334889035587701</v>
      </c>
      <c r="G4" t="s">
        <v>2</v>
      </c>
      <c r="H4">
        <f>_xlfn.STDEV.S(B2:B36)</f>
        <v>0.14091053733310868</v>
      </c>
      <c r="I4">
        <f>_xlfn.STDEV.S(C2:C36)</f>
        <v>2.2096321098383606E-3</v>
      </c>
    </row>
    <row r="5" spans="1:9" ht="42.75">
      <c r="A5" s="1" t="s">
        <v>42</v>
      </c>
      <c r="B5" s="1">
        <v>14.874006519279099</v>
      </c>
      <c r="C5" s="1">
        <v>0.24139693907330401</v>
      </c>
      <c r="G5" t="s">
        <v>3</v>
      </c>
      <c r="H5">
        <f>H4/H3/SQRT(COUNT(B2:B36))</f>
        <v>1.6869744421197017E-3</v>
      </c>
      <c r="I5">
        <f>I4/I3/SQRT(COUNT(C2:C36))</f>
        <v>1.6177404443417373E-3</v>
      </c>
    </row>
    <row r="6" spans="1:9" ht="42.75">
      <c r="A6" s="1" t="s">
        <v>15</v>
      </c>
      <c r="B6" s="1">
        <v>14.848372496325201</v>
      </c>
      <c r="C6" s="1">
        <v>0.24177140642297701</v>
      </c>
    </row>
    <row r="7" spans="1:9" ht="42.75">
      <c r="A7" s="1" t="s">
        <v>16</v>
      </c>
      <c r="B7" s="1">
        <v>14.899698212446999</v>
      </c>
      <c r="C7" s="1">
        <v>0.24611015618375001</v>
      </c>
    </row>
    <row r="8" spans="1:9" ht="42.75">
      <c r="A8" s="1" t="s">
        <v>17</v>
      </c>
      <c r="B8" s="1">
        <v>14.810888493288999</v>
      </c>
      <c r="C8" s="1">
        <v>0.24482638982888399</v>
      </c>
    </row>
    <row r="9" spans="1:9" ht="42.75">
      <c r="A9" s="1" t="s">
        <v>18</v>
      </c>
      <c r="B9" s="1">
        <v>14.679244556567999</v>
      </c>
      <c r="C9" s="1">
        <v>0.24047022478348701</v>
      </c>
    </row>
    <row r="10" spans="1:9" ht="42.75">
      <c r="A10" s="1" t="s">
        <v>19</v>
      </c>
      <c r="B10" s="1">
        <v>14.738029844308899</v>
      </c>
      <c r="C10" s="1">
        <v>0.24076714972723101</v>
      </c>
    </row>
    <row r="11" spans="1:9" ht="42.75">
      <c r="A11" s="1" t="s">
        <v>20</v>
      </c>
      <c r="B11" s="1">
        <v>15.006235992571201</v>
      </c>
      <c r="C11" s="1">
        <v>0.244370206125226</v>
      </c>
    </row>
    <row r="12" spans="1:9" ht="42.75">
      <c r="A12" s="1" t="s">
        <v>21</v>
      </c>
      <c r="B12" s="1">
        <v>14.931755049277101</v>
      </c>
      <c r="C12" s="1">
        <v>0.24313993631303599</v>
      </c>
    </row>
    <row r="13" spans="1:9" ht="42.75">
      <c r="A13" s="1" t="s">
        <v>22</v>
      </c>
      <c r="B13" s="1">
        <v>14.877675513746899</v>
      </c>
      <c r="C13" s="1">
        <v>0.240076934656237</v>
      </c>
    </row>
    <row r="14" spans="1:9" ht="42.75">
      <c r="A14" s="1" t="s">
        <v>23</v>
      </c>
      <c r="B14" s="1">
        <v>14.746074117484801</v>
      </c>
      <c r="C14" s="1">
        <v>0.242245334794052</v>
      </c>
    </row>
    <row r="15" spans="1:9" ht="42.75">
      <c r="A15" s="1" t="s">
        <v>24</v>
      </c>
      <c r="B15" s="1">
        <v>14.640937142556799</v>
      </c>
      <c r="C15" s="1">
        <v>0.24081642222489599</v>
      </c>
    </row>
    <row r="16" spans="1:9" ht="42.75">
      <c r="A16" s="1" t="s">
        <v>11</v>
      </c>
      <c r="B16" s="1">
        <v>14.631998174448899</v>
      </c>
      <c r="C16" s="1">
        <v>0.23946128860629701</v>
      </c>
    </row>
    <row r="17" spans="1:3" ht="42.75">
      <c r="A17" s="1" t="s">
        <v>12</v>
      </c>
      <c r="B17" s="1">
        <v>14.6724748610003</v>
      </c>
      <c r="C17" s="1">
        <v>0.24067136591591201</v>
      </c>
    </row>
    <row r="18" spans="1:3" ht="42.75">
      <c r="A18" s="1" t="s">
        <v>13</v>
      </c>
      <c r="B18" s="1">
        <v>14.5414739371093</v>
      </c>
      <c r="C18" s="1">
        <v>0.241804540636641</v>
      </c>
    </row>
    <row r="19" spans="1:3" ht="42.75">
      <c r="A19" s="1" t="s">
        <v>14</v>
      </c>
      <c r="B19" s="1">
        <v>14.8098620908903</v>
      </c>
      <c r="C19" s="1">
        <v>0.237876942608618</v>
      </c>
    </row>
    <row r="20" spans="1:3" ht="42.75">
      <c r="A20" s="1" t="s">
        <v>25</v>
      </c>
      <c r="B20" s="1">
        <v>14.5919542716605</v>
      </c>
      <c r="C20" s="1">
        <v>0.241838145831969</v>
      </c>
    </row>
    <row r="21" spans="1:3" ht="42.75">
      <c r="A21" s="1" t="s">
        <v>26</v>
      </c>
      <c r="B21" s="1">
        <v>14.5587210638217</v>
      </c>
      <c r="C21" s="1">
        <v>0.24402502768845699</v>
      </c>
    </row>
    <row r="22" spans="1:3" ht="42.75">
      <c r="A22" s="1" t="s">
        <v>27</v>
      </c>
      <c r="B22" s="1">
        <v>14.659733641213601</v>
      </c>
      <c r="C22" s="1">
        <v>0.23989744417664499</v>
      </c>
    </row>
    <row r="23" spans="1:3" ht="42.75">
      <c r="A23" s="1" t="s">
        <v>28</v>
      </c>
      <c r="B23" s="1">
        <v>14.5682516009454</v>
      </c>
      <c r="C23" s="1">
        <v>0.240176182150968</v>
      </c>
    </row>
    <row r="24" spans="1:3" ht="42.75">
      <c r="A24" s="1" t="s">
        <v>29</v>
      </c>
      <c r="B24" s="1">
        <v>14.6781335911072</v>
      </c>
      <c r="C24" s="1">
        <v>0.238939795428251</v>
      </c>
    </row>
    <row r="25" spans="1:3" ht="42.75">
      <c r="A25" s="1" t="s">
        <v>30</v>
      </c>
      <c r="B25" s="1">
        <v>14.6663906133572</v>
      </c>
      <c r="C25" s="1">
        <v>0.23962573892411401</v>
      </c>
    </row>
    <row r="26" spans="1:3" ht="42.75">
      <c r="A26" s="1" t="s">
        <v>31</v>
      </c>
      <c r="B26" s="1">
        <v>15.0131194102626</v>
      </c>
      <c r="C26" s="1">
        <v>0.24176111907040099</v>
      </c>
    </row>
    <row r="27" spans="1:3" ht="42.75">
      <c r="A27" s="1" t="s">
        <v>32</v>
      </c>
      <c r="B27" s="1">
        <v>14.811961578394801</v>
      </c>
      <c r="C27" s="1">
        <v>0.24348653683848701</v>
      </c>
    </row>
    <row r="28" spans="1:3" ht="42.75">
      <c r="A28" s="1" t="s">
        <v>33</v>
      </c>
      <c r="B28" s="1">
        <v>14.838220774801099</v>
      </c>
      <c r="C28" s="1">
        <v>0.24073031648363399</v>
      </c>
    </row>
    <row r="29" spans="1:3" ht="42.75">
      <c r="A29" s="1" t="s">
        <v>34</v>
      </c>
      <c r="B29" s="1">
        <v>14.8799215035865</v>
      </c>
      <c r="C29" s="1">
        <v>0.24558776594854301</v>
      </c>
    </row>
    <row r="30" spans="1:3" ht="42.75">
      <c r="A30" s="1" t="s">
        <v>35</v>
      </c>
      <c r="B30" s="1">
        <v>14.8939719894331</v>
      </c>
      <c r="C30" s="1">
        <v>0.239185337596831</v>
      </c>
    </row>
    <row r="31" spans="1:3" ht="42.75">
      <c r="A31" s="1" t="s">
        <v>36</v>
      </c>
      <c r="B31" s="1">
        <v>14.7270416756588</v>
      </c>
      <c r="C31" s="1">
        <v>0.241717931493385</v>
      </c>
    </row>
    <row r="32" spans="1:3" ht="42.75">
      <c r="A32" s="1" t="s">
        <v>37</v>
      </c>
      <c r="B32" s="1">
        <v>14.880778969601799</v>
      </c>
      <c r="C32" s="1">
        <v>0.24138266998260599</v>
      </c>
    </row>
    <row r="33" spans="1:3" ht="42.75">
      <c r="A33" s="1" t="s">
        <v>38</v>
      </c>
      <c r="B33" s="1">
        <v>14.8237912164245</v>
      </c>
      <c r="C33" s="1">
        <v>0.24367652321245201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2026-07-23T16:13:38Z</dcterms:modified>
</cp:coreProperties>
</file>