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iego\git\6s7p\BeatnotePostHotCellF1=4\Jul21,2026\"/>
    </mc:Choice>
  </mc:AlternateContent>
  <xr:revisionPtr revIDLastSave="0" documentId="13_ncr:1_{90A5BCF5-514C-4265-8497-B5D92013E965}" xr6:coauthVersionLast="47" xr6:coauthVersionMax="47" xr10:uidLastSave="{00000000-0000-0000-0000-000000000000}"/>
  <bookViews>
    <workbookView xWindow="28680" yWindow="-120" windowWidth="29040" windowHeight="15720" activeTab="2" xr2:uid="{D9E101C5-8284-4B59-8B1C-2AD2D5F2FDD3}"/>
  </bookViews>
  <sheets>
    <sheet name="894" sheetId="2" r:id="rId1"/>
    <sheet name="456" sheetId="1" r:id="rId2"/>
    <sheet name="AbsCoe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" i="3" l="1"/>
  <c r="G5" i="3"/>
  <c r="G6" i="3"/>
  <c r="F4" i="3"/>
  <c r="F5" i="3"/>
  <c r="F6" i="3" l="1"/>
</calcChain>
</file>

<file path=xl/sharedStrings.xml><?xml version="1.0" encoding="utf-8"?>
<sst xmlns="http://schemas.openxmlformats.org/spreadsheetml/2006/main" count="118" uniqueCount="43">
  <si>
    <t>Date</t>
  </si>
  <si>
    <t>Mean</t>
  </si>
  <si>
    <t>STD</t>
  </si>
  <si>
    <t>Mean/std/sqrt(n)</t>
  </si>
  <si>
    <t>Alpha</t>
  </si>
  <si>
    <t>P0</t>
  </si>
  <si>
    <t>h1</t>
  </si>
  <si>
    <t>mv</t>
  </si>
  <si>
    <t>T</t>
  </si>
  <si>
    <t>gamma</t>
  </si>
  <si>
    <t>offset</t>
  </si>
  <si>
    <t>Jul21,2026+1-01-31PM</t>
  </si>
  <si>
    <t>Jul21,2026+1-09-11PM</t>
  </si>
  <si>
    <t>Jul21,2026+1-30-31PM</t>
  </si>
  <si>
    <t>Jul21,2026+1-40-05PM</t>
  </si>
  <si>
    <t>Jul21,2026+1-58-35PM</t>
  </si>
  <si>
    <t>Jul21,2026+10-04-37AM</t>
  </si>
  <si>
    <t>Jul21,2026+10-41-13AM</t>
  </si>
  <si>
    <t>Jul21,2026+12-09-01PM</t>
  </si>
  <si>
    <t>Jul21,2026+12-43-22PM</t>
  </si>
  <si>
    <t>Jul21,2026+12-53-22PM</t>
  </si>
  <si>
    <t>Jul21,2026+2-08-08PM</t>
  </si>
  <si>
    <t>Jul21,2026+2-15-55PM</t>
  </si>
  <si>
    <t>Jul21,2026+2-23-55PM</t>
  </si>
  <si>
    <t>Jul21,2026+2-32-03PM</t>
  </si>
  <si>
    <t>Jul21,2026+3-10-36PM</t>
  </si>
  <si>
    <t>Jul21,2026+3-18-15PM</t>
  </si>
  <si>
    <t>Jul21,2026+3-26-50PM</t>
  </si>
  <si>
    <t>Jul21,2026+3-34-26PM</t>
  </si>
  <si>
    <t>Jul21,2026+3-42-02PM</t>
  </si>
  <si>
    <t>Jul21,2026+3-49-49PM</t>
  </si>
  <si>
    <t>Jul21,2026+3-57-30PM</t>
  </si>
  <si>
    <t>Jul21,2026+4-05-10PM</t>
  </si>
  <si>
    <t>Jul21,2026+4-20-56PM</t>
  </si>
  <si>
    <t>Jul21,2026+4-31-22PM</t>
  </si>
  <si>
    <t>Jul21,2026+4-38-59PM</t>
  </si>
  <si>
    <t>Jul21,2026+4-46-38PM</t>
  </si>
  <si>
    <t>Jul21,2026+9-09-03AM</t>
  </si>
  <si>
    <t>Jul21,2026+9-17-16AM</t>
  </si>
  <si>
    <t>Jul21,2026+9-25-02AM</t>
  </si>
  <si>
    <t>Jul21,2026+9-32-41AM</t>
  </si>
  <si>
    <t>Jul21,2026+9-40-56AM</t>
  </si>
  <si>
    <t>Jul21,2026+9-52-24AM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</si>
</sst>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617D-2BBC-4C21-ADC4-3687FEC8C6E3}">
  <dimension ref="A1:V36"/>
  <sheetViews>
    <sheetView workbookViewId="0">
      <selection sqref="A1:B1048576"/>
    </sheetView>
  </sheetViews>
  <sheetFormatPr defaultRowHeight="14.25"/>
  <sheetData>
    <row r="1" spans="1:22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2" ht="42.75">
      <c r="A2" s="1" t="s">
        <v>11</v>
      </c>
      <c r="B2" s="1">
        <v>3.0420177016521102</v>
      </c>
      <c r="C2" s="1">
        <v>1.33729965512648</v>
      </c>
      <c r="D2" s="1">
        <v>-4.0018584778461503E-3</v>
      </c>
      <c r="E2" s="1">
        <v>1.8006785682011499</v>
      </c>
      <c r="F2" s="1">
        <v>41.604325616561802</v>
      </c>
      <c r="G2" s="1">
        <v>2.2876734062906401E-3</v>
      </c>
      <c r="H2" s="1"/>
      <c r="L2" s="1"/>
      <c r="M2" s="1"/>
      <c r="U2" s="1"/>
    </row>
    <row r="3" spans="1:22" ht="42.75">
      <c r="A3" s="1" t="s">
        <v>12</v>
      </c>
      <c r="B3" s="1">
        <v>3.0577648925430601</v>
      </c>
      <c r="C3" s="1">
        <v>1.3376970910678201</v>
      </c>
      <c r="D3" s="1">
        <v>-4.4758045062343798E-3</v>
      </c>
      <c r="E3" s="1">
        <v>1.8009516118068201</v>
      </c>
      <c r="F3" s="1">
        <v>41.102948190111498</v>
      </c>
      <c r="G3" s="1">
        <v>2.2873004961138101E-3</v>
      </c>
      <c r="H3" s="1"/>
      <c r="U3" s="1"/>
      <c r="V3" s="1"/>
    </row>
    <row r="4" spans="1:22" ht="42.75">
      <c r="A4" s="1" t="s">
        <v>13</v>
      </c>
      <c r="B4" s="1">
        <v>3.07207699092403</v>
      </c>
      <c r="C4" s="1">
        <v>1.3259451174439301</v>
      </c>
      <c r="D4" s="1">
        <v>-3.9679221823977796E-3</v>
      </c>
      <c r="E4" s="1">
        <v>1.80128024543174</v>
      </c>
      <c r="F4" s="1">
        <v>41.1014758504691</v>
      </c>
      <c r="G4" s="1">
        <v>2.8805384249532299E-3</v>
      </c>
      <c r="H4" s="1"/>
      <c r="U4" s="1"/>
    </row>
    <row r="5" spans="1:22" ht="42.75">
      <c r="A5" s="1" t="s">
        <v>14</v>
      </c>
      <c r="B5" s="1">
        <v>3.0603120961688499</v>
      </c>
      <c r="C5" s="1">
        <v>1.33570522601303</v>
      </c>
      <c r="D5" s="1">
        <v>-4.3772358892064499E-3</v>
      </c>
      <c r="E5" s="1">
        <v>1.80094210078884</v>
      </c>
      <c r="F5" s="1">
        <v>41.089549210411597</v>
      </c>
      <c r="G5" s="1">
        <v>2.2873004958492201E-3</v>
      </c>
      <c r="H5" s="1"/>
      <c r="U5" s="1"/>
    </row>
    <row r="6" spans="1:22" ht="42.75">
      <c r="A6" s="1" t="s">
        <v>15</v>
      </c>
      <c r="B6" s="1">
        <v>3.0495273783215602</v>
      </c>
      <c r="C6" s="1">
        <v>1.33761849636806</v>
      </c>
      <c r="D6" s="1">
        <v>-4.5523398915758399E-3</v>
      </c>
      <c r="E6" s="1">
        <v>1.8003864390801101</v>
      </c>
      <c r="F6" s="1">
        <v>43.103564251103101</v>
      </c>
      <c r="G6" s="1">
        <v>2.7071761940188599E-3</v>
      </c>
      <c r="H6" s="1"/>
      <c r="U6" s="1"/>
    </row>
    <row r="7" spans="1:22" ht="42.75">
      <c r="A7" s="1" t="s">
        <v>16</v>
      </c>
      <c r="B7" s="1">
        <v>3.0726606549971298</v>
      </c>
      <c r="C7" s="1">
        <v>1.33656193599227</v>
      </c>
      <c r="D7" s="1">
        <v>-4.6710486996718904E-3</v>
      </c>
      <c r="E7" s="1">
        <v>1.7998976471524799</v>
      </c>
      <c r="F7" s="1">
        <v>40.959923100400601</v>
      </c>
      <c r="G7" s="1">
        <v>2.9183454964757998E-3</v>
      </c>
      <c r="H7" s="1"/>
      <c r="U7" s="1"/>
    </row>
    <row r="8" spans="1:22" ht="42.75">
      <c r="A8" s="1" t="s">
        <v>17</v>
      </c>
      <c r="B8" s="1">
        <v>3.0831176610414701</v>
      </c>
      <c r="C8" s="1">
        <v>1.3312965587971799</v>
      </c>
      <c r="D8" s="1">
        <v>-4.7594410005604403E-3</v>
      </c>
      <c r="E8" s="1">
        <v>1.8010439794638999</v>
      </c>
      <c r="F8" s="1">
        <v>41.002426212793999</v>
      </c>
      <c r="G8" s="1">
        <v>2.8424511428278899E-3</v>
      </c>
      <c r="H8" s="1"/>
      <c r="U8" s="1"/>
    </row>
    <row r="9" spans="1:22" ht="42.75">
      <c r="A9" s="1" t="s">
        <v>18</v>
      </c>
      <c r="B9" s="1">
        <v>3.0668965665752701</v>
      </c>
      <c r="C9" s="1">
        <v>1.3353947680731499</v>
      </c>
      <c r="D9" s="1">
        <v>-4.7091578829123104E-3</v>
      </c>
      <c r="E9" s="1">
        <v>1.73978316699518</v>
      </c>
      <c r="F9" s="1">
        <v>41.116100800132301</v>
      </c>
      <c r="G9" s="1">
        <v>3.0224697471216799E-3</v>
      </c>
      <c r="H9" s="1"/>
      <c r="U9" s="1"/>
    </row>
    <row r="10" spans="1:22" ht="42.75">
      <c r="A10" s="1" t="s">
        <v>19</v>
      </c>
      <c r="B10" s="1">
        <v>3.0577539539137901</v>
      </c>
      <c r="C10" s="1">
        <v>1.3385699300777101</v>
      </c>
      <c r="D10" s="1">
        <v>-4.27647292924956E-3</v>
      </c>
      <c r="E10" s="1">
        <v>1.80053307997322</v>
      </c>
      <c r="F10" s="1">
        <v>41.092229730028897</v>
      </c>
      <c r="G10" s="1">
        <v>2.6341718876971101E-3</v>
      </c>
      <c r="H10" s="1"/>
      <c r="U10" s="1"/>
    </row>
    <row r="11" spans="1:22" ht="42.75">
      <c r="A11" s="1" t="s">
        <v>20</v>
      </c>
      <c r="B11" s="1">
        <v>3.0461287705788598</v>
      </c>
      <c r="C11" s="1">
        <v>1.33955102513751</v>
      </c>
      <c r="D11" s="1">
        <v>-4.3541672105392197E-3</v>
      </c>
      <c r="E11" s="1">
        <v>1.79997069129104</v>
      </c>
      <c r="F11" s="1">
        <v>41.087634667281201</v>
      </c>
      <c r="G11" s="1">
        <v>2.7196756422161101E-3</v>
      </c>
      <c r="H11" s="1"/>
      <c r="U11" s="1"/>
    </row>
    <row r="12" spans="1:22" ht="42.75">
      <c r="A12" s="1" t="s">
        <v>21</v>
      </c>
      <c r="B12" s="1">
        <v>3.0483213432966099</v>
      </c>
      <c r="C12" s="1">
        <v>1.3366717801881101</v>
      </c>
      <c r="D12" s="1">
        <v>-4.51684719438822E-3</v>
      </c>
      <c r="E12" s="1">
        <v>1.7406511709589101</v>
      </c>
      <c r="F12" s="1">
        <v>41.112874042222401</v>
      </c>
      <c r="G12" s="1">
        <v>2.2873005235252999E-3</v>
      </c>
      <c r="H12" s="1"/>
      <c r="U12" s="1"/>
    </row>
    <row r="13" spans="1:22" ht="42.75">
      <c r="A13" s="1" t="s">
        <v>22</v>
      </c>
      <c r="B13" s="1">
        <v>3.0507028081060601</v>
      </c>
      <c r="C13" s="1">
        <v>1.3332796508215199</v>
      </c>
      <c r="D13" s="1">
        <v>-4.41615582309598E-3</v>
      </c>
      <c r="E13" s="1">
        <v>1.741918501147</v>
      </c>
      <c r="F13" s="1">
        <v>41.080630120002397</v>
      </c>
      <c r="G13" s="1">
        <v>2.43467457114336E-3</v>
      </c>
      <c r="H13" s="1"/>
      <c r="R13" s="1"/>
    </row>
    <row r="14" spans="1:22" ht="42.75">
      <c r="A14" s="1" t="s">
        <v>23</v>
      </c>
      <c r="B14" s="1">
        <v>3.0503873160495498</v>
      </c>
      <c r="C14" s="1">
        <v>1.33255135966733</v>
      </c>
      <c r="D14" s="1">
        <v>-4.5481642282217197E-3</v>
      </c>
      <c r="E14" s="1">
        <v>1.74025690951278</v>
      </c>
      <c r="F14" s="1">
        <v>41.095813910561503</v>
      </c>
      <c r="G14" s="1">
        <v>2.5623556066352998E-3</v>
      </c>
      <c r="H14" s="1"/>
      <c r="R14" s="1"/>
    </row>
    <row r="15" spans="1:22" ht="42.75">
      <c r="A15" s="1" t="s">
        <v>24</v>
      </c>
      <c r="B15" s="1">
        <v>3.0616213771126799</v>
      </c>
      <c r="C15" s="1">
        <v>1.33251149966537</v>
      </c>
      <c r="D15" s="1">
        <v>-4.6800689235291498E-3</v>
      </c>
      <c r="E15" s="1">
        <v>1.7410860640119501</v>
      </c>
      <c r="F15" s="1">
        <v>41.666965106524202</v>
      </c>
      <c r="G15" s="1">
        <v>3.1555515455843502E-3</v>
      </c>
      <c r="H15" s="1"/>
      <c r="R15" s="1"/>
    </row>
    <row r="16" spans="1:22" ht="42.75">
      <c r="A16" s="1" t="s">
        <v>25</v>
      </c>
      <c r="B16" s="1">
        <v>3.0441812745358798</v>
      </c>
      <c r="C16" s="1">
        <v>1.33141653784451</v>
      </c>
      <c r="D16" s="1">
        <v>-4.9549064997558498E-3</v>
      </c>
      <c r="E16" s="1">
        <v>1.80066092367907</v>
      </c>
      <c r="F16" s="1">
        <v>43.084257117729699</v>
      </c>
      <c r="G16" s="1">
        <v>2.51566177058246E-3</v>
      </c>
      <c r="H16" s="1"/>
      <c r="R16" s="1"/>
    </row>
    <row r="17" spans="1:8" ht="42.75">
      <c r="A17" s="1" t="s">
        <v>26</v>
      </c>
      <c r="B17" s="1">
        <v>3.0545733491419398</v>
      </c>
      <c r="C17" s="1">
        <v>1.3315469089716401</v>
      </c>
      <c r="D17" s="1">
        <v>-4.1760534859211999E-3</v>
      </c>
      <c r="E17" s="1">
        <v>1.740698527693</v>
      </c>
      <c r="F17" s="1">
        <v>41.976477961933298</v>
      </c>
      <c r="G17" s="1">
        <v>2.3365486177115901E-3</v>
      </c>
      <c r="H17" s="1"/>
    </row>
    <row r="18" spans="1:8" ht="42.75">
      <c r="A18" s="1" t="s">
        <v>27</v>
      </c>
      <c r="B18" s="1">
        <v>3.0565111313221198</v>
      </c>
      <c r="C18" s="1">
        <v>1.32789393491263</v>
      </c>
      <c r="D18" s="1">
        <v>-4.6229024475472101E-3</v>
      </c>
      <c r="E18" s="1">
        <v>1.8001293945258201</v>
      </c>
      <c r="F18" s="1">
        <v>41.143876042903599</v>
      </c>
      <c r="G18" s="1">
        <v>3.3180795045206699E-3</v>
      </c>
      <c r="H18" s="1"/>
    </row>
    <row r="19" spans="1:8" ht="42.75">
      <c r="A19" s="1" t="s">
        <v>28</v>
      </c>
      <c r="B19" s="1">
        <v>3.0569612836170998</v>
      </c>
      <c r="C19" s="1">
        <v>1.3300275414711999</v>
      </c>
      <c r="D19" s="1">
        <v>-4.68304665668584E-3</v>
      </c>
      <c r="E19" s="1">
        <v>1.8006441976573999</v>
      </c>
      <c r="F19" s="1">
        <v>41.168296221501997</v>
      </c>
      <c r="G19" s="1">
        <v>2.3484645037315402E-3</v>
      </c>
      <c r="H19" s="1"/>
    </row>
    <row r="20" spans="1:8" ht="42.75">
      <c r="A20" s="1" t="s">
        <v>29</v>
      </c>
      <c r="B20" s="1">
        <v>3.0531280697850698</v>
      </c>
      <c r="C20" s="1">
        <v>1.3304184797238101</v>
      </c>
      <c r="D20" s="1">
        <v>-4.6752574425942099E-3</v>
      </c>
      <c r="E20" s="1">
        <v>1.8002840442810599</v>
      </c>
      <c r="F20" s="1">
        <v>41.162520437198999</v>
      </c>
      <c r="G20" s="1">
        <v>3.3350141079625398E-3</v>
      </c>
      <c r="H20" s="1"/>
    </row>
    <row r="21" spans="1:8" ht="42.75">
      <c r="A21" s="1" t="s">
        <v>30</v>
      </c>
      <c r="B21" s="1">
        <v>3.0495276887412501</v>
      </c>
      <c r="C21" s="1">
        <v>1.3306693089016099</v>
      </c>
      <c r="D21" s="1">
        <v>-4.5911692813245799E-3</v>
      </c>
      <c r="E21" s="1">
        <v>1.74110276070702</v>
      </c>
      <c r="F21" s="1">
        <v>41.167822380176297</v>
      </c>
      <c r="G21" s="1">
        <v>2.7655158948516399E-3</v>
      </c>
      <c r="H21" s="1"/>
    </row>
    <row r="22" spans="1:8" ht="42.75">
      <c r="A22" s="1" t="s">
        <v>31</v>
      </c>
      <c r="B22" s="1">
        <v>3.0451824247254602</v>
      </c>
      <c r="C22" s="1">
        <v>1.33180169897545</v>
      </c>
      <c r="D22" s="1">
        <v>-4.7846867693451299E-3</v>
      </c>
      <c r="E22" s="1">
        <v>1.79979127070823</v>
      </c>
      <c r="F22" s="1">
        <v>41.150951700087496</v>
      </c>
      <c r="G22" s="1">
        <v>2.5299928906227899E-3</v>
      </c>
      <c r="H22" s="1"/>
    </row>
    <row r="23" spans="1:8" ht="42.75">
      <c r="A23" s="1" t="s">
        <v>32</v>
      </c>
      <c r="B23" s="1">
        <v>3.0636069285517098</v>
      </c>
      <c r="C23" s="1">
        <v>1.33147341725053</v>
      </c>
      <c r="D23" s="1">
        <v>-4.4789337397431296E-3</v>
      </c>
      <c r="E23" s="1">
        <v>1.80086661167764</v>
      </c>
      <c r="F23" s="1">
        <v>41.1469998100415</v>
      </c>
      <c r="G23" s="1">
        <v>2.8922027575831498E-3</v>
      </c>
      <c r="H23" s="1"/>
    </row>
    <row r="24" spans="1:8" ht="42.75">
      <c r="A24" s="1" t="s">
        <v>33</v>
      </c>
      <c r="B24" s="1">
        <v>3.0573709331599099</v>
      </c>
      <c r="C24" s="1">
        <v>1.33691905982142</v>
      </c>
      <c r="D24" s="1">
        <v>-3.9915999938087803E-3</v>
      </c>
      <c r="E24" s="1">
        <v>1.80025868397602</v>
      </c>
      <c r="F24" s="1">
        <v>41.165520400236304</v>
      </c>
      <c r="G24" s="1">
        <v>2.6903952052199499E-3</v>
      </c>
      <c r="H24" s="1"/>
    </row>
    <row r="25" spans="1:8" ht="42.75">
      <c r="A25" s="1" t="s">
        <v>34</v>
      </c>
      <c r="B25" s="1">
        <v>3.0482345249944598</v>
      </c>
      <c r="C25" s="1">
        <v>1.34068344327046</v>
      </c>
      <c r="D25" s="1">
        <v>-4.5759468220492603E-3</v>
      </c>
      <c r="E25" s="1">
        <v>1.8009811994707501</v>
      </c>
      <c r="F25" s="1">
        <v>41.164901550001503</v>
      </c>
      <c r="G25" s="1">
        <v>2.77694710236303E-3</v>
      </c>
      <c r="H25" s="1"/>
    </row>
    <row r="26" spans="1:8" ht="42.75">
      <c r="A26" s="1" t="s">
        <v>35</v>
      </c>
      <c r="B26" s="1">
        <v>3.0486121479316401</v>
      </c>
      <c r="C26" s="1">
        <v>1.3362617825729</v>
      </c>
      <c r="D26" s="1">
        <v>-4.6959342227909399E-3</v>
      </c>
      <c r="E26" s="1">
        <v>1.80069574757947</v>
      </c>
      <c r="F26" s="1">
        <v>41.960805381135501</v>
      </c>
      <c r="G26" s="1">
        <v>2.3357008869080002E-3</v>
      </c>
      <c r="H26" s="1"/>
    </row>
    <row r="27" spans="1:8" ht="42.75">
      <c r="A27" s="1" t="s">
        <v>36</v>
      </c>
      <c r="B27" s="1">
        <v>3.0547580292283598</v>
      </c>
      <c r="C27" s="1">
        <v>1.32298962637367</v>
      </c>
      <c r="D27" s="1">
        <v>-5.3683333846339101E-3</v>
      </c>
      <c r="E27" s="1">
        <v>1.80107043679094</v>
      </c>
      <c r="F27" s="1">
        <v>41.184455692864802</v>
      </c>
      <c r="G27" s="1">
        <v>2.7280735560157002E-3</v>
      </c>
      <c r="H27" s="1"/>
    </row>
    <row r="28" spans="1:8" ht="42.75">
      <c r="A28" s="1" t="s">
        <v>37</v>
      </c>
      <c r="B28" s="1">
        <v>3.0672817324059798</v>
      </c>
      <c r="C28" s="1">
        <v>1.3422636215306201</v>
      </c>
      <c r="D28" s="1">
        <v>-5.3939861280792997E-3</v>
      </c>
      <c r="E28" s="1">
        <v>1.7959893174758601</v>
      </c>
      <c r="F28" s="1">
        <v>41.861238205025998</v>
      </c>
      <c r="G28" s="1">
        <v>2.2873091055486201E-3</v>
      </c>
      <c r="H28" s="1"/>
    </row>
    <row r="29" spans="1:8" ht="42.75">
      <c r="A29" s="1" t="s">
        <v>38</v>
      </c>
      <c r="B29" s="1">
        <v>3.06498328697809</v>
      </c>
      <c r="C29" s="1">
        <v>1.3378982880711501</v>
      </c>
      <c r="D29" s="1">
        <v>-4.5464283311848902E-3</v>
      </c>
      <c r="E29" s="1">
        <v>1.8006620145994101</v>
      </c>
      <c r="F29" s="1">
        <v>40.913460792420203</v>
      </c>
      <c r="G29" s="1">
        <v>2.4416049403177E-3</v>
      </c>
      <c r="H29" s="1"/>
    </row>
    <row r="30" spans="1:8" ht="42.75">
      <c r="A30" s="1" t="s">
        <v>39</v>
      </c>
      <c r="B30" s="1">
        <v>3.06753441554193</v>
      </c>
      <c r="C30" s="1">
        <v>1.3389948401677201</v>
      </c>
      <c r="D30" s="1">
        <v>-4.36084845434724E-3</v>
      </c>
      <c r="E30" s="1">
        <v>1.8011056287905001</v>
      </c>
      <c r="F30" s="1">
        <v>40.9077863400003</v>
      </c>
      <c r="G30" s="1">
        <v>2.51263283739242E-3</v>
      </c>
      <c r="H30" s="1"/>
    </row>
    <row r="31" spans="1:8" ht="42.75">
      <c r="A31" s="1" t="s">
        <v>40</v>
      </c>
      <c r="B31" s="1">
        <v>3.0756019900176499</v>
      </c>
      <c r="C31" s="1">
        <v>1.3386183825650999</v>
      </c>
      <c r="D31" s="1">
        <v>-4.1361260556523703E-3</v>
      </c>
      <c r="E31" s="1">
        <v>1.80057439630759</v>
      </c>
      <c r="F31" s="1">
        <v>41.209485841112802</v>
      </c>
      <c r="G31" s="1">
        <v>2.4954835317805299E-3</v>
      </c>
      <c r="H31" s="1"/>
    </row>
    <row r="32" spans="1:8" ht="42.75">
      <c r="A32" s="1" t="s">
        <v>41</v>
      </c>
      <c r="B32" s="1">
        <v>3.0649036050172098</v>
      </c>
      <c r="C32" s="1">
        <v>1.3379928979059801</v>
      </c>
      <c r="D32" s="1">
        <v>-4.3361750489697799E-3</v>
      </c>
      <c r="E32" s="1">
        <v>1.8001894985682101</v>
      </c>
      <c r="F32" s="1">
        <v>41.749113211726502</v>
      </c>
      <c r="G32" s="1">
        <v>2.4574714965572599E-3</v>
      </c>
      <c r="H32" s="1"/>
    </row>
    <row r="33" spans="1:8" ht="42.75">
      <c r="A33" s="1" t="s">
        <v>42</v>
      </c>
      <c r="B33" s="1">
        <v>3.06529341587372</v>
      </c>
      <c r="C33" s="1">
        <v>1.3363470392850501</v>
      </c>
      <c r="D33" s="1">
        <v>-4.5548712178584E-3</v>
      </c>
      <c r="E33" s="1">
        <v>1.8003943887738201</v>
      </c>
      <c r="F33" s="1">
        <v>40.959555280039197</v>
      </c>
      <c r="G33" s="1">
        <v>2.7196777344183202E-3</v>
      </c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46E0-737D-49FA-A2CA-7848F848076B}">
  <dimension ref="A1:T37"/>
  <sheetViews>
    <sheetView zoomScale="99" zoomScaleNormal="99" workbookViewId="0">
      <selection sqref="A1:B1048576"/>
    </sheetView>
  </sheetViews>
  <sheetFormatPr defaultRowHeight="14.25"/>
  <sheetData>
    <row r="1" spans="1:20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/>
      <c r="L1" s="1"/>
      <c r="M1" s="1"/>
      <c r="N1" s="1"/>
      <c r="O1" s="1"/>
      <c r="P1" s="1"/>
      <c r="Q1" s="1"/>
      <c r="R1" s="1"/>
      <c r="S1" s="1"/>
      <c r="T1" s="1"/>
    </row>
    <row r="2" spans="1:20" ht="42.75">
      <c r="A2" s="1" t="s">
        <v>11</v>
      </c>
      <c r="B2" s="1">
        <v>4.8651617087087401E-2</v>
      </c>
      <c r="C2" s="1">
        <v>1.6214287142289401</v>
      </c>
      <c r="D2" s="1">
        <v>3.8698950035264199E-4</v>
      </c>
      <c r="E2" s="2">
        <v>1.6357034298160001E-5</v>
      </c>
      <c r="F2" s="1">
        <v>2.75421760298034</v>
      </c>
      <c r="G2" s="1">
        <v>41.1533034705256</v>
      </c>
      <c r="H2" s="1">
        <v>7.1028089497932696E-4</v>
      </c>
      <c r="L2" s="1"/>
    </row>
    <row r="3" spans="1:20" ht="42.75">
      <c r="A3" s="1" t="s">
        <v>12</v>
      </c>
      <c r="B3" s="1">
        <v>4.8810930819998197E-2</v>
      </c>
      <c r="C3" s="1">
        <v>1.6217244807278299</v>
      </c>
      <c r="D3" s="2">
        <v>4.5200508533045603E-5</v>
      </c>
      <c r="E3" s="1">
        <v>1.16756545601588E-4</v>
      </c>
      <c r="F3" s="1">
        <v>2.71612239083482</v>
      </c>
      <c r="G3" s="1">
        <v>41.250564891699</v>
      </c>
      <c r="H3" s="1">
        <v>5.78925725412192E-4</v>
      </c>
      <c r="L3" s="1"/>
    </row>
    <row r="4" spans="1:20" ht="42.75">
      <c r="A4" s="1" t="s">
        <v>13</v>
      </c>
      <c r="B4" s="1">
        <v>4.8901071369119802E-2</v>
      </c>
      <c r="C4" s="1">
        <v>1.61979776567305</v>
      </c>
      <c r="D4" s="1">
        <v>4.7446307506006098E-4</v>
      </c>
      <c r="E4" s="2">
        <v>2.4251905905275601E-5</v>
      </c>
      <c r="F4" s="1">
        <v>2.75549551653013</v>
      </c>
      <c r="G4" s="1">
        <v>42.133240868840197</v>
      </c>
      <c r="H4" s="1">
        <v>7.5220370168027802E-4</v>
      </c>
    </row>
    <row r="5" spans="1:20" ht="42.75">
      <c r="A5" s="1" t="s">
        <v>14</v>
      </c>
      <c r="B5" s="1">
        <v>4.9126205451321202E-2</v>
      </c>
      <c r="C5" s="1">
        <v>1.6210241821567699</v>
      </c>
      <c r="D5" s="1">
        <v>5.4946450625775701E-4</v>
      </c>
      <c r="E5" s="2">
        <v>7.06555168875345E-6</v>
      </c>
      <c r="F5" s="1">
        <v>1.7558193126488699</v>
      </c>
      <c r="G5" s="1">
        <v>42.123468931993997</v>
      </c>
      <c r="H5" s="1">
        <v>7.5220854262024299E-4</v>
      </c>
    </row>
    <row r="6" spans="1:20" ht="42.75">
      <c r="A6" s="1" t="s">
        <v>15</v>
      </c>
      <c r="B6" s="1">
        <v>4.95058693259324E-2</v>
      </c>
      <c r="C6" s="1">
        <v>1.6200072612051499</v>
      </c>
      <c r="D6" s="1">
        <v>6.1102926113680903E-4</v>
      </c>
      <c r="E6" s="2">
        <v>1.37563677240495E-5</v>
      </c>
      <c r="F6" s="1">
        <v>2.2552560948155098</v>
      </c>
      <c r="G6" s="1">
        <v>41.135872121271703</v>
      </c>
      <c r="H6" s="1">
        <v>1.0999266068211599E-3</v>
      </c>
    </row>
    <row r="7" spans="1:20" ht="42.75">
      <c r="A7" s="1" t="s">
        <v>16</v>
      </c>
      <c r="B7" s="1">
        <v>4.8979944321647401E-2</v>
      </c>
      <c r="C7" s="1">
        <v>1.61946105097889</v>
      </c>
      <c r="D7" s="2">
        <v>7.4711291393968196E-5</v>
      </c>
      <c r="E7" s="1">
        <v>1.00498996507712E-4</v>
      </c>
      <c r="F7" s="1">
        <v>3.0012018753380199</v>
      </c>
      <c r="G7" s="1">
        <v>41.002443448929398</v>
      </c>
      <c r="H7" s="1">
        <v>5.7949302903631701E-4</v>
      </c>
    </row>
    <row r="8" spans="1:20" ht="42.75">
      <c r="A8" s="1" t="s">
        <v>17</v>
      </c>
      <c r="B8" s="1">
        <v>4.9045485231240298E-2</v>
      </c>
      <c r="C8" s="1">
        <v>1.6173250076224199</v>
      </c>
      <c r="D8" s="1">
        <v>5.8063172917304699E-4</v>
      </c>
      <c r="E8" s="2">
        <v>2.8122994391690802E-5</v>
      </c>
      <c r="F8" s="1">
        <v>2.7565704554205599</v>
      </c>
      <c r="G8" s="1">
        <v>41.557406372619099</v>
      </c>
      <c r="H8" s="1">
        <v>7.5984119340054604E-4</v>
      </c>
    </row>
    <row r="9" spans="1:20" ht="42.75">
      <c r="A9" s="1" t="s">
        <v>18</v>
      </c>
      <c r="B9" s="1">
        <v>4.8965298287210399E-2</v>
      </c>
      <c r="C9" s="1">
        <v>1.6194778416190501</v>
      </c>
      <c r="D9" s="1">
        <v>6.53278293845777E-4</v>
      </c>
      <c r="E9" s="2">
        <v>4.8498469196968403E-5</v>
      </c>
      <c r="F9" s="1">
        <v>3.00461597137117</v>
      </c>
      <c r="G9" s="1">
        <v>42.129110380934698</v>
      </c>
      <c r="H9" s="1">
        <v>7.5220749172196096E-4</v>
      </c>
    </row>
    <row r="10" spans="1:20" ht="42.75">
      <c r="A10" s="1" t="s">
        <v>19</v>
      </c>
      <c r="B10" s="1">
        <v>4.8957627310304702E-2</v>
      </c>
      <c r="C10" s="1">
        <v>1.62103952676331</v>
      </c>
      <c r="D10" s="2">
        <v>8.9299443212571204E-5</v>
      </c>
      <c r="E10" s="1">
        <v>1.21420230863115E-4</v>
      </c>
      <c r="F10" s="1">
        <v>2.7554959771851602</v>
      </c>
      <c r="G10" s="1">
        <v>41.133093248154502</v>
      </c>
      <c r="H10" s="1">
        <v>5.7967753257135303E-4</v>
      </c>
    </row>
    <row r="11" spans="1:20" ht="42.75">
      <c r="A11" s="1" t="s">
        <v>20</v>
      </c>
      <c r="B11" s="1">
        <v>4.9000057015244597E-2</v>
      </c>
      <c r="C11" s="1">
        <v>1.62196761827887</v>
      </c>
      <c r="D11" s="2">
        <v>1.97719823089721E-5</v>
      </c>
      <c r="E11" s="1">
        <v>1.09298970812504E-4</v>
      </c>
      <c r="F11" s="1">
        <v>2.5034303725148601</v>
      </c>
      <c r="G11" s="1">
        <v>41.090569229479698</v>
      </c>
      <c r="H11" s="1">
        <v>5.8364647175256101E-4</v>
      </c>
    </row>
    <row r="12" spans="1:20" ht="42.75">
      <c r="A12" s="1" t="s">
        <v>21</v>
      </c>
      <c r="B12" s="1">
        <v>4.8651769164606402E-2</v>
      </c>
      <c r="C12" s="1">
        <v>1.62000630968957</v>
      </c>
      <c r="D12" s="1">
        <v>1.9084580005479599E-4</v>
      </c>
      <c r="E12" s="2">
        <v>8.9811812288383296E-5</v>
      </c>
      <c r="F12" s="1">
        <v>2.7552262867595099</v>
      </c>
      <c r="G12" s="1">
        <v>42.106015148786298</v>
      </c>
      <c r="H12" s="1">
        <v>7.52204561976593E-4</v>
      </c>
    </row>
    <row r="13" spans="1:20" ht="42.75">
      <c r="A13" s="1" t="s">
        <v>22</v>
      </c>
      <c r="B13" s="1">
        <v>4.8908241247632697E-2</v>
      </c>
      <c r="C13" s="1">
        <v>1.62029784140914</v>
      </c>
      <c r="D13" s="2">
        <v>7.3123786154694103E-5</v>
      </c>
      <c r="E13" s="1">
        <v>1.23174153862733E-4</v>
      </c>
      <c r="F13" s="1">
        <v>2.5020496084447901</v>
      </c>
      <c r="G13" s="1">
        <v>42.102647162849401</v>
      </c>
      <c r="H13" s="1">
        <v>7.5220893628379201E-4</v>
      </c>
    </row>
    <row r="14" spans="1:20" ht="42.75">
      <c r="A14" s="1" t="s">
        <v>23</v>
      </c>
      <c r="B14" s="1">
        <v>4.8699146330509702E-2</v>
      </c>
      <c r="C14" s="1">
        <v>1.6196570000341699</v>
      </c>
      <c r="D14" s="1">
        <v>1.10765464112809E-4</v>
      </c>
      <c r="E14" s="2">
        <v>9.5382274677397705E-5</v>
      </c>
      <c r="F14" s="1">
        <v>2.5050130268071999</v>
      </c>
      <c r="G14" s="1">
        <v>42.115072199744901</v>
      </c>
      <c r="H14" s="1">
        <v>7.5220593336757999E-4</v>
      </c>
    </row>
    <row r="15" spans="1:20" ht="42.75">
      <c r="A15" s="1" t="s">
        <v>24</v>
      </c>
      <c r="B15" s="1">
        <v>4.91555175312548E-2</v>
      </c>
      <c r="C15" s="1">
        <v>1.61977898958933</v>
      </c>
      <c r="D15" s="1">
        <v>7.6365066831823002E-4</v>
      </c>
      <c r="E15" s="2">
        <v>-6.8002557481592997E-6</v>
      </c>
      <c r="F15" s="1">
        <v>2.7549209290674601</v>
      </c>
      <c r="G15" s="1">
        <v>41.110750100311598</v>
      </c>
      <c r="H15" s="1">
        <v>6.0393647604071901E-4</v>
      </c>
    </row>
    <row r="16" spans="1:20" ht="42.75">
      <c r="A16" s="1" t="s">
        <v>25</v>
      </c>
      <c r="B16" s="1">
        <v>4.9268660787059597E-2</v>
      </c>
      <c r="C16" s="1">
        <v>1.6188950846813199</v>
      </c>
      <c r="D16" s="1">
        <v>2.0549128722952199E-4</v>
      </c>
      <c r="E16" s="2">
        <v>4.71071894541656E-5</v>
      </c>
      <c r="F16" s="1">
        <v>2.7553840686909501</v>
      </c>
      <c r="G16" s="1">
        <v>42.130491839927501</v>
      </c>
      <c r="H16" s="1">
        <v>7.5220572252930097E-4</v>
      </c>
    </row>
    <row r="17" spans="1:8" ht="42.75">
      <c r="A17" s="1" t="s">
        <v>26</v>
      </c>
      <c r="B17" s="1">
        <v>4.8826826414769098E-2</v>
      </c>
      <c r="C17" s="1">
        <v>1.6175260996623699</v>
      </c>
      <c r="D17" s="1">
        <v>3.0260805907797098E-4</v>
      </c>
      <c r="E17" s="2">
        <v>4.84442735417986E-5</v>
      </c>
      <c r="F17" s="1">
        <v>2.5017581572488998</v>
      </c>
      <c r="G17" s="1">
        <v>42.142956243648001</v>
      </c>
      <c r="H17" s="1">
        <v>7.52211264118504E-4</v>
      </c>
    </row>
    <row r="18" spans="1:8" ht="42.75">
      <c r="A18" s="1" t="s">
        <v>27</v>
      </c>
      <c r="B18" s="1">
        <v>4.8764627198113697E-2</v>
      </c>
      <c r="C18" s="1">
        <v>1.6167003337330501</v>
      </c>
      <c r="D18" s="1">
        <v>1.02464195072135E-4</v>
      </c>
      <c r="E18" s="1">
        <v>1.13190339414657E-4</v>
      </c>
      <c r="F18" s="1">
        <v>2.7552272554786401</v>
      </c>
      <c r="G18" s="1">
        <v>41.5393079918586</v>
      </c>
      <c r="H18" s="1">
        <v>5.8773430506488895E-4</v>
      </c>
    </row>
    <row r="19" spans="1:8" ht="42.75">
      <c r="A19" s="1" t="s">
        <v>28</v>
      </c>
      <c r="B19" s="1">
        <v>4.9029160899217702E-2</v>
      </c>
      <c r="C19" s="1">
        <v>1.61640354370741</v>
      </c>
      <c r="D19" s="1">
        <v>3.44856632716095E-4</v>
      </c>
      <c r="E19" s="2">
        <v>7.1511693572288699E-5</v>
      </c>
      <c r="F19" s="1">
        <v>2.5063346930310302</v>
      </c>
      <c r="G19" s="1">
        <v>42.147325259026502</v>
      </c>
      <c r="H19" s="1">
        <v>7.5220843212528399E-4</v>
      </c>
    </row>
    <row r="20" spans="1:8" ht="42.75">
      <c r="A20" s="1" t="s">
        <v>29</v>
      </c>
      <c r="B20" s="1">
        <v>4.8854122518207498E-2</v>
      </c>
      <c r="C20" s="1">
        <v>1.61644287341562</v>
      </c>
      <c r="D20" s="1">
        <v>1.5984456701538901E-4</v>
      </c>
      <c r="E20" s="2">
        <v>8.55231693800196E-5</v>
      </c>
      <c r="F20" s="1">
        <v>2.7547940476336001</v>
      </c>
      <c r="G20" s="1">
        <v>41.181767378517499</v>
      </c>
      <c r="H20" s="1">
        <v>5.8514050858443395E-4</v>
      </c>
    </row>
    <row r="21" spans="1:8" ht="42.75">
      <c r="A21" s="1" t="s">
        <v>30</v>
      </c>
      <c r="B21" s="1">
        <v>4.9133881801381701E-2</v>
      </c>
      <c r="C21" s="1">
        <v>1.6165299392052199</v>
      </c>
      <c r="D21" s="1">
        <v>5.2086387392123604E-4</v>
      </c>
      <c r="E21" s="2">
        <v>4.4534956774656001E-5</v>
      </c>
      <c r="F21" s="1">
        <v>2.00536732134062</v>
      </c>
      <c r="G21" s="1">
        <v>41.179818233456402</v>
      </c>
      <c r="H21" s="1">
        <v>6.4550553801949299E-4</v>
      </c>
    </row>
    <row r="22" spans="1:8" ht="42.75">
      <c r="A22" s="1" t="s">
        <v>31</v>
      </c>
      <c r="B22" s="1">
        <v>4.9071806924917999E-2</v>
      </c>
      <c r="C22" s="1">
        <v>1.6162462213112101</v>
      </c>
      <c r="D22" s="1">
        <v>6.0754155667250298E-4</v>
      </c>
      <c r="E22" s="2">
        <v>1.7254637607877301E-5</v>
      </c>
      <c r="F22" s="1">
        <v>2.5033742392938598</v>
      </c>
      <c r="G22" s="1">
        <v>41.595884518318897</v>
      </c>
      <c r="H22" s="1">
        <v>7.3505362908690903E-4</v>
      </c>
    </row>
    <row r="23" spans="1:8" ht="42.75">
      <c r="A23" s="1" t="s">
        <v>32</v>
      </c>
      <c r="B23" s="1">
        <v>4.9142870700877098E-2</v>
      </c>
      <c r="C23" s="1">
        <v>1.6163252355511999</v>
      </c>
      <c r="D23" s="1">
        <v>2.9808214437740101E-4</v>
      </c>
      <c r="E23" s="2">
        <v>7.0306226773867101E-5</v>
      </c>
      <c r="F23" s="1">
        <v>2.75333509720652</v>
      </c>
      <c r="G23" s="1">
        <v>42.167246934145801</v>
      </c>
      <c r="H23" s="1">
        <v>7.5221032734440604E-4</v>
      </c>
    </row>
    <row r="24" spans="1:8" ht="42.75">
      <c r="A24" s="1" t="s">
        <v>33</v>
      </c>
      <c r="B24" s="1">
        <v>4.9249210174874901E-2</v>
      </c>
      <c r="C24" s="1">
        <v>1.61656142849085</v>
      </c>
      <c r="D24" s="1">
        <v>5.1456972274515104E-4</v>
      </c>
      <c r="E24" s="2">
        <v>4.0316755909470697E-5</v>
      </c>
      <c r="F24" s="1">
        <v>2.5052241689177701</v>
      </c>
      <c r="G24" s="1">
        <v>42.166063902953702</v>
      </c>
      <c r="H24" s="1">
        <v>7.5220846997536199E-4</v>
      </c>
    </row>
    <row r="25" spans="1:8" ht="42.75">
      <c r="A25" s="1" t="s">
        <v>34</v>
      </c>
      <c r="B25" s="1">
        <v>4.8951873888496603E-2</v>
      </c>
      <c r="C25" s="1">
        <v>1.6171109880996299</v>
      </c>
      <c r="D25" s="1">
        <v>3.1074904268978002E-4</v>
      </c>
      <c r="E25" s="2">
        <v>8.3142149576298204E-5</v>
      </c>
      <c r="F25" s="1">
        <v>2.50502705145189</v>
      </c>
      <c r="G25" s="1">
        <v>41.162546614788901</v>
      </c>
      <c r="H25" s="1">
        <v>5.8639803021256001E-4</v>
      </c>
    </row>
    <row r="26" spans="1:8" ht="42.75">
      <c r="A26" s="1" t="s">
        <v>35</v>
      </c>
      <c r="B26" s="1">
        <v>4.8933368456572202E-2</v>
      </c>
      <c r="C26" s="1">
        <v>1.61685644190031</v>
      </c>
      <c r="D26" s="1">
        <v>1.2655528999666E-4</v>
      </c>
      <c r="E26" s="1">
        <v>1.19519542665448E-4</v>
      </c>
      <c r="F26" s="1">
        <v>2.7545142358555998</v>
      </c>
      <c r="G26" s="1">
        <v>41.274129138687798</v>
      </c>
      <c r="H26" s="1">
        <v>5.7959925875486896E-4</v>
      </c>
    </row>
    <row r="27" spans="1:8" ht="42.75">
      <c r="A27" s="1" t="s">
        <v>36</v>
      </c>
      <c r="B27" s="1">
        <v>4.87619094275357E-2</v>
      </c>
      <c r="C27" s="1">
        <v>1.6169341275606901</v>
      </c>
      <c r="D27" s="1">
        <v>3.24080635924889E-4</v>
      </c>
      <c r="E27" s="2">
        <v>7.2854990259824896E-5</v>
      </c>
      <c r="F27" s="1">
        <v>2.7544416785911401</v>
      </c>
      <c r="G27" s="1">
        <v>41.459764475304901</v>
      </c>
      <c r="H27" s="1">
        <v>5.8021887630338497E-4</v>
      </c>
    </row>
    <row r="28" spans="1:8" ht="42.75">
      <c r="A28" s="1" t="s">
        <v>37</v>
      </c>
      <c r="B28" s="1">
        <v>4.9220544832568401E-2</v>
      </c>
      <c r="C28" s="1">
        <v>1.62014758316505</v>
      </c>
      <c r="D28" s="1">
        <v>3.3620559114784602E-4</v>
      </c>
      <c r="E28" s="2">
        <v>9.3502535594318205E-5</v>
      </c>
      <c r="F28" s="1">
        <v>2.7543338650517701</v>
      </c>
      <c r="G28" s="1">
        <v>41.564278721709002</v>
      </c>
      <c r="H28" s="1">
        <v>6.0093271143026104E-4</v>
      </c>
    </row>
    <row r="29" spans="1:8" ht="42.75">
      <c r="A29" s="1" t="s">
        <v>38</v>
      </c>
      <c r="B29" s="1">
        <v>4.8826525513616603E-2</v>
      </c>
      <c r="C29" s="1">
        <v>1.62113030405925</v>
      </c>
      <c r="D29" s="1">
        <v>2.94732480347358E-4</v>
      </c>
      <c r="E29" s="2">
        <v>7.5236324068273595E-5</v>
      </c>
      <c r="F29" s="1">
        <v>2.7550173857888902</v>
      </c>
      <c r="G29" s="1">
        <v>41.020097703499999</v>
      </c>
      <c r="H29" s="1">
        <v>5.8395475914112802E-4</v>
      </c>
    </row>
    <row r="30" spans="1:8" ht="42.75">
      <c r="A30" s="1" t="s">
        <v>39</v>
      </c>
      <c r="B30" s="1">
        <v>4.9256122272570202E-2</v>
      </c>
      <c r="C30" s="1">
        <v>1.6206495783092301</v>
      </c>
      <c r="D30" s="1">
        <v>1.36954581024508E-4</v>
      </c>
      <c r="E30" s="1">
        <v>1.04094907114039E-4</v>
      </c>
      <c r="F30" s="1">
        <v>2.7533823720209298</v>
      </c>
      <c r="G30" s="1">
        <v>42.739389933213999</v>
      </c>
      <c r="H30" s="1">
        <v>5.8880038960217897E-4</v>
      </c>
    </row>
    <row r="31" spans="1:8" ht="42.75">
      <c r="A31" s="1" t="s">
        <v>40</v>
      </c>
      <c r="B31" s="1">
        <v>4.97179954883646E-2</v>
      </c>
      <c r="C31" s="1">
        <v>1.6209189654044001</v>
      </c>
      <c r="D31" s="1">
        <v>1.04687377117227E-3</v>
      </c>
      <c r="E31" s="2">
        <v>-4.4501526035441199E-5</v>
      </c>
      <c r="F31" s="1">
        <v>2.25305224678144</v>
      </c>
      <c r="G31" s="1">
        <v>42.767707492704702</v>
      </c>
      <c r="H31" s="1">
        <v>5.9866861737969501E-4</v>
      </c>
    </row>
    <row r="32" spans="1:8" ht="42.75">
      <c r="A32" s="1" t="s">
        <v>41</v>
      </c>
      <c r="B32" s="1">
        <v>4.9725118840505199E-2</v>
      </c>
      <c r="C32" s="1">
        <v>1.62061274517479</v>
      </c>
      <c r="D32" s="1">
        <v>5.4824036255025996E-4</v>
      </c>
      <c r="E32" s="2">
        <v>8.4016471624500294E-6</v>
      </c>
      <c r="F32" s="1">
        <v>2.75526105824706</v>
      </c>
      <c r="G32" s="1">
        <v>42.930420374062997</v>
      </c>
      <c r="H32" s="1">
        <v>1.0928741040071601E-3</v>
      </c>
    </row>
    <row r="33" spans="1:8" ht="42.75">
      <c r="A33" s="1" t="s">
        <v>42</v>
      </c>
      <c r="B33" s="1">
        <v>4.9381962862556E-2</v>
      </c>
      <c r="C33" s="1">
        <v>1.6195641738698201</v>
      </c>
      <c r="D33" s="1">
        <v>3.2494223333412702E-4</v>
      </c>
      <c r="E33" s="2">
        <v>5.64721581950974E-5</v>
      </c>
      <c r="F33" s="1">
        <v>2.7542556485028902</v>
      </c>
      <c r="G33" s="1">
        <v>41.352659295594897</v>
      </c>
      <c r="H33" s="1">
        <v>5.9181210245847805E-4</v>
      </c>
    </row>
    <row r="34" spans="1:8">
      <c r="A34" s="1"/>
      <c r="B34" s="1"/>
      <c r="C34" s="1"/>
      <c r="D34" s="1"/>
      <c r="E34" s="2"/>
      <c r="F34" s="1"/>
      <c r="G34" s="1"/>
      <c r="H34" s="1"/>
    </row>
    <row r="35" spans="1:8">
      <c r="A35" s="1"/>
      <c r="B35" s="1"/>
      <c r="C35" s="1"/>
      <c r="D35" s="1"/>
      <c r="E35" s="2"/>
      <c r="F35" s="1"/>
      <c r="G35" s="1"/>
      <c r="H35" s="1"/>
    </row>
    <row r="36" spans="1:8">
      <c r="A36" s="1"/>
      <c r="B36" s="1"/>
      <c r="C36" s="1"/>
      <c r="D36" s="1"/>
      <c r="E36" s="2"/>
      <c r="F36" s="1"/>
      <c r="G36" s="1"/>
      <c r="H36" s="1"/>
    </row>
    <row r="37" spans="1:8">
      <c r="A37" s="1"/>
      <c r="B37" s="1"/>
      <c r="C37" s="1"/>
      <c r="D37" s="2"/>
      <c r="E37" s="2"/>
      <c r="F37" s="1"/>
      <c r="G37" s="1"/>
      <c r="H3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B368-1F4F-4C65-B86B-93EC676CB77B}">
  <dimension ref="A1:G43"/>
  <sheetViews>
    <sheetView tabSelected="1" topLeftCell="A7" workbookViewId="0">
      <selection activeCell="A2" sqref="A2:C33"/>
    </sheetView>
  </sheetViews>
  <sheetFormatPr defaultRowHeight="14.25"/>
  <sheetData>
    <row r="1" spans="1:7">
      <c r="A1" s="1" t="s">
        <v>0</v>
      </c>
      <c r="B1" s="1" t="s">
        <v>4</v>
      </c>
      <c r="C1" s="1" t="s">
        <v>4</v>
      </c>
    </row>
    <row r="2" spans="1:7" ht="42.75">
      <c r="A2" s="1" t="s">
        <v>37</v>
      </c>
      <c r="B2" s="1">
        <v>3.0672817324059798</v>
      </c>
      <c r="C2" s="1">
        <v>4.9220544832568401E-2</v>
      </c>
    </row>
    <row r="3" spans="1:7" ht="42.75">
      <c r="A3" s="1" t="s">
        <v>38</v>
      </c>
      <c r="B3" s="1">
        <v>3.06498328697809</v>
      </c>
      <c r="C3" s="1">
        <v>4.8826525513616603E-2</v>
      </c>
      <c r="F3">
        <v>894</v>
      </c>
      <c r="G3">
        <v>456</v>
      </c>
    </row>
    <row r="4" spans="1:7" ht="42.75">
      <c r="A4" s="1" t="s">
        <v>39</v>
      </c>
      <c r="B4" s="1">
        <v>3.06753441554193</v>
      </c>
      <c r="C4" s="1">
        <v>4.9256122272570202E-2</v>
      </c>
      <c r="E4" t="s">
        <v>1</v>
      </c>
      <c r="F4">
        <f>AVERAGE(B2:B45)</f>
        <v>3.0580479919640782</v>
      </c>
      <c r="G4">
        <f>AVERAGE(C2:C45)</f>
        <v>4.9046105296728607E-2</v>
      </c>
    </row>
    <row r="5" spans="1:7" ht="42.75">
      <c r="A5" s="1" t="s">
        <v>40</v>
      </c>
      <c r="B5" s="1">
        <v>3.0756019900176499</v>
      </c>
      <c r="C5" s="1">
        <v>4.97179954883646E-2</v>
      </c>
      <c r="E5" t="s">
        <v>2</v>
      </c>
      <c r="F5">
        <f>_xlfn.STDEV.S(B2:B45)</f>
        <v>1.0068819035813647E-2</v>
      </c>
      <c r="G5">
        <f>_xlfn.STDEV.S(C2:C45)</f>
        <v>2.7243526872566045E-4</v>
      </c>
    </row>
    <row r="6" spans="1:7" ht="42.75">
      <c r="A6" s="1" t="s">
        <v>41</v>
      </c>
      <c r="B6" s="1">
        <v>3.0649036050172098</v>
      </c>
      <c r="C6" s="1">
        <v>4.9725118840505199E-2</v>
      </c>
      <c r="E6" t="s">
        <v>3</v>
      </c>
      <c r="F6">
        <f>F5/F4/SQRT(COUNT(B2:B45))</f>
        <v>5.8204860073102292E-4</v>
      </c>
      <c r="G6">
        <f>G5/G4/SQRT(COUNT(C2:C45))</f>
        <v>9.8193742798137668E-4</v>
      </c>
    </row>
    <row r="7" spans="1:7" ht="42.75">
      <c r="A7" s="1" t="s">
        <v>42</v>
      </c>
      <c r="B7" s="1">
        <v>3.06529341587372</v>
      </c>
      <c r="C7" s="1">
        <v>4.9381962862556E-2</v>
      </c>
    </row>
    <row r="8" spans="1:7" ht="42.75">
      <c r="A8" s="1" t="s">
        <v>16</v>
      </c>
      <c r="B8" s="1">
        <v>3.0726606549971298</v>
      </c>
      <c r="C8" s="1">
        <v>4.8979944321647401E-2</v>
      </c>
    </row>
    <row r="9" spans="1:7" ht="42.75">
      <c r="A9" s="1" t="s">
        <v>17</v>
      </c>
      <c r="B9" s="1">
        <v>3.0831176610414701</v>
      </c>
      <c r="C9" s="1">
        <v>4.9045485231240298E-2</v>
      </c>
    </row>
    <row r="10" spans="1:7" ht="42.75">
      <c r="A10" s="1" t="s">
        <v>18</v>
      </c>
      <c r="B10" s="1">
        <v>3.0668965665752701</v>
      </c>
      <c r="C10" s="1">
        <v>4.8965298287210399E-2</v>
      </c>
    </row>
    <row r="11" spans="1:7" ht="42.75">
      <c r="A11" s="1" t="s">
        <v>19</v>
      </c>
      <c r="B11" s="1">
        <v>3.0577539539137901</v>
      </c>
      <c r="C11" s="1">
        <v>4.8957627310304702E-2</v>
      </c>
    </row>
    <row r="12" spans="1:7" ht="42.75">
      <c r="A12" s="1" t="s">
        <v>20</v>
      </c>
      <c r="B12" s="1">
        <v>3.0461287705788598</v>
      </c>
      <c r="C12" s="1">
        <v>4.9000057015244597E-2</v>
      </c>
    </row>
    <row r="13" spans="1:7" ht="42.75">
      <c r="A13" s="1" t="s">
        <v>11</v>
      </c>
      <c r="B13" s="1">
        <v>3.0420177016521102</v>
      </c>
      <c r="C13" s="1">
        <v>4.8651617087087401E-2</v>
      </c>
    </row>
    <row r="14" spans="1:7" ht="42.75">
      <c r="A14" s="1" t="s">
        <v>12</v>
      </c>
      <c r="B14" s="1">
        <v>3.0577648925430601</v>
      </c>
      <c r="C14" s="1">
        <v>4.8810930819998197E-2</v>
      </c>
    </row>
    <row r="15" spans="1:7" ht="42.75">
      <c r="A15" s="1" t="s">
        <v>13</v>
      </c>
      <c r="B15" s="1">
        <v>3.07207699092403</v>
      </c>
      <c r="C15" s="1">
        <v>4.8901071369119802E-2</v>
      </c>
    </row>
    <row r="16" spans="1:7" ht="42.75">
      <c r="A16" s="1" t="s">
        <v>14</v>
      </c>
      <c r="B16" s="1">
        <v>3.0603120961688499</v>
      </c>
      <c r="C16" s="1">
        <v>4.9126205451321202E-2</v>
      </c>
    </row>
    <row r="17" spans="1:3" ht="42.75">
      <c r="A17" s="1" t="s">
        <v>15</v>
      </c>
      <c r="B17" s="1">
        <v>3.0495273783215602</v>
      </c>
      <c r="C17" s="1">
        <v>4.95058693259324E-2</v>
      </c>
    </row>
    <row r="18" spans="1:3" ht="42.75">
      <c r="A18" s="1" t="s">
        <v>21</v>
      </c>
      <c r="B18" s="1">
        <v>3.0483213432966099</v>
      </c>
      <c r="C18" s="1">
        <v>4.8651769164606402E-2</v>
      </c>
    </row>
    <row r="19" spans="1:3" ht="42.75">
      <c r="A19" s="1" t="s">
        <v>22</v>
      </c>
      <c r="B19" s="1">
        <v>3.0507028081060601</v>
      </c>
      <c r="C19" s="1">
        <v>4.8908241247632697E-2</v>
      </c>
    </row>
    <row r="20" spans="1:3" ht="42.75">
      <c r="A20" s="1" t="s">
        <v>23</v>
      </c>
      <c r="B20" s="1">
        <v>3.0503873160495498</v>
      </c>
      <c r="C20" s="1">
        <v>4.8699146330509702E-2</v>
      </c>
    </row>
    <row r="21" spans="1:3" ht="42.75">
      <c r="A21" s="1" t="s">
        <v>24</v>
      </c>
      <c r="B21" s="1">
        <v>3.0616213771126799</v>
      </c>
      <c r="C21" s="1">
        <v>4.91555175312548E-2</v>
      </c>
    </row>
    <row r="22" spans="1:3" ht="42.75">
      <c r="A22" s="1" t="s">
        <v>25</v>
      </c>
      <c r="B22" s="1">
        <v>3.0441812745358798</v>
      </c>
      <c r="C22" s="1">
        <v>4.9268660787059597E-2</v>
      </c>
    </row>
    <row r="23" spans="1:3" ht="42.75">
      <c r="A23" s="1" t="s">
        <v>26</v>
      </c>
      <c r="B23" s="1">
        <v>3.0545733491419398</v>
      </c>
      <c r="C23" s="1">
        <v>4.8826826414769098E-2</v>
      </c>
    </row>
    <row r="24" spans="1:3" ht="42.75">
      <c r="A24" s="1" t="s">
        <v>27</v>
      </c>
      <c r="B24" s="1">
        <v>3.0565111313221198</v>
      </c>
      <c r="C24" s="1">
        <v>4.8764627198113697E-2</v>
      </c>
    </row>
    <row r="25" spans="1:3" ht="42.75">
      <c r="A25" s="1" t="s">
        <v>28</v>
      </c>
      <c r="B25" s="1">
        <v>3.0569612836170998</v>
      </c>
      <c r="C25" s="1">
        <v>4.9029160899217702E-2</v>
      </c>
    </row>
    <row r="26" spans="1:3" ht="42.75">
      <c r="A26" s="1" t="s">
        <v>29</v>
      </c>
      <c r="B26" s="1">
        <v>3.0531280697850698</v>
      </c>
      <c r="C26" s="1">
        <v>4.8854122518207498E-2</v>
      </c>
    </row>
    <row r="27" spans="1:3" ht="42.75">
      <c r="A27" s="1" t="s">
        <v>30</v>
      </c>
      <c r="B27" s="1">
        <v>3.0495276887412501</v>
      </c>
      <c r="C27" s="1">
        <v>4.9133881801381701E-2</v>
      </c>
    </row>
    <row r="28" spans="1:3" ht="42.75">
      <c r="A28" s="1" t="s">
        <v>31</v>
      </c>
      <c r="B28" s="1">
        <v>3.0451824247254602</v>
      </c>
      <c r="C28" s="1">
        <v>4.9071806924917999E-2</v>
      </c>
    </row>
    <row r="29" spans="1:3" ht="42.75">
      <c r="A29" s="1" t="s">
        <v>32</v>
      </c>
      <c r="B29" s="1">
        <v>3.0636069285517098</v>
      </c>
      <c r="C29" s="1">
        <v>4.9142870700877098E-2</v>
      </c>
    </row>
    <row r="30" spans="1:3" ht="42.75">
      <c r="A30" s="1" t="s">
        <v>33</v>
      </c>
      <c r="B30" s="1">
        <v>3.0573709331599099</v>
      </c>
      <c r="C30" s="1">
        <v>4.9249210174874901E-2</v>
      </c>
    </row>
    <row r="31" spans="1:3" ht="42.75">
      <c r="A31" s="1" t="s">
        <v>34</v>
      </c>
      <c r="B31" s="1">
        <v>3.0482345249944598</v>
      </c>
      <c r="C31" s="1">
        <v>4.8951873888496603E-2</v>
      </c>
    </row>
    <row r="32" spans="1:3" ht="42.75">
      <c r="A32" s="1" t="s">
        <v>35</v>
      </c>
      <c r="B32" s="1">
        <v>3.0486121479316401</v>
      </c>
      <c r="C32" s="1">
        <v>4.8933368456572202E-2</v>
      </c>
    </row>
    <row r="33" spans="1:3" ht="42.75">
      <c r="A33" s="1" t="s">
        <v>36</v>
      </c>
      <c r="B33" s="1">
        <v>3.0547580292283598</v>
      </c>
      <c r="C33" s="1">
        <v>4.87619094275357E-2</v>
      </c>
    </row>
    <row r="40" spans="1:3">
      <c r="A40" s="1"/>
      <c r="B40" s="1"/>
      <c r="C40" s="1"/>
    </row>
    <row r="41" spans="1:3">
      <c r="A41" s="1"/>
      <c r="B41" s="1"/>
      <c r="C41" s="1"/>
    </row>
    <row r="42" spans="1:3">
      <c r="A42" s="1"/>
      <c r="B42" s="1"/>
      <c r="C42" s="1"/>
    </row>
    <row r="43" spans="1:3">
      <c r="C4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894</vt:lpstr>
      <vt:lpstr>456</vt:lpstr>
      <vt:lpstr>AbsCoef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Esteban Garcia</cp:lastModifiedBy>
  <dcterms:created xsi:type="dcterms:W3CDTF">2026-06-24T14:26:48Z</dcterms:created>
  <dcterms:modified xsi:type="dcterms:W3CDTF">2026-07-22T18:54:55Z</dcterms:modified>
</cp:coreProperties>
</file>