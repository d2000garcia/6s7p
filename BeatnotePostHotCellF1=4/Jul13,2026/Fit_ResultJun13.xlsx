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iego\git\6s7p\BeatnotePostHotCellF1=4\Jul13,2026\"/>
    </mc:Choice>
  </mc:AlternateContent>
  <xr:revisionPtr revIDLastSave="0" documentId="13_ncr:1_{AF2E68B6-B6BA-43AC-9342-62BA58DBD7CC}" xr6:coauthVersionLast="47" xr6:coauthVersionMax="47" xr10:uidLastSave="{00000000-0000-0000-0000-000000000000}"/>
  <bookViews>
    <workbookView xWindow="-120" yWindow="-120" windowWidth="29040" windowHeight="15720" activeTab="2" xr2:uid="{D9E101C5-8284-4B59-8B1C-2AD2D5F2FDD3}"/>
  </bookViews>
  <sheets>
    <sheet name="894" sheetId="2" r:id="rId1"/>
    <sheet name="456" sheetId="1" r:id="rId2"/>
    <sheet name="AbsCoe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" i="3" l="1"/>
  <c r="H5" i="3"/>
  <c r="H6" i="3" s="1"/>
  <c r="G6" i="3" l="1"/>
  <c r="G5" i="3"/>
  <c r="G4" i="3"/>
</calcChain>
</file>

<file path=xl/sharedStrings.xml><?xml version="1.0" encoding="utf-8"?>
<sst xmlns="http://schemas.openxmlformats.org/spreadsheetml/2006/main" count="106" uniqueCount="39">
  <si>
    <t>Date</t>
  </si>
  <si>
    <t>Mean</t>
  </si>
  <si>
    <t>STD</t>
  </si>
  <si>
    <t>Mean/std/sqrt(n)</t>
  </si>
  <si>
    <t>Alpha</t>
  </si>
  <si>
    <t>P0</t>
  </si>
  <si>
    <t>h1</t>
  </si>
  <si>
    <t>mv</t>
  </si>
  <si>
    <t>T</t>
  </si>
  <si>
    <t>gamma</t>
  </si>
  <si>
    <t>offset</t>
  </si>
  <si>
    <t>Jul13,2026+1-07-47PM</t>
  </si>
  <si>
    <t>Jul13,2026+1-21-29PM</t>
  </si>
  <si>
    <t>Jul13,2026+1-34-28PM</t>
  </si>
  <si>
    <t>Jul13,2026+1-42-33PM</t>
  </si>
  <si>
    <t>Jul13,2026+1-52-37PM</t>
  </si>
  <si>
    <t>Jul13,2026+10-12-06AM</t>
  </si>
  <si>
    <t>Jul13,2026+10-34-59AM</t>
  </si>
  <si>
    <t>Jul13,2026+10-54-06AM</t>
  </si>
  <si>
    <t>Jul13,2026+11-11-20AM</t>
  </si>
  <si>
    <t>Jul13,2026+11-19-18AM</t>
  </si>
  <si>
    <t>Jul13,2026+11-27-51AM</t>
  </si>
  <si>
    <t>Jul13,2026+11-39-03AM</t>
  </si>
  <si>
    <t>Jul13,2026+12-12-01PM</t>
  </si>
  <si>
    <t>Jul13,2026+12-21-13PM</t>
  </si>
  <si>
    <t>Jul13,2026+12-29-13PM</t>
  </si>
  <si>
    <t>Jul13,2026+12-38-19PM</t>
  </si>
  <si>
    <t>Jul13,2026+12-58-04PM</t>
  </si>
  <si>
    <t>Jul13,2026+2-05-19PM</t>
  </si>
  <si>
    <t>Jul13,2026+2-17-27PM</t>
  </si>
  <si>
    <t>Jul13,2026+2-55-51PM</t>
  </si>
  <si>
    <t>Jul13,2026+3-41-08PM</t>
  </si>
  <si>
    <t>Jul13,2026+3-52-31PM</t>
  </si>
  <si>
    <t>Jul13,2026+4-02-38PM</t>
  </si>
  <si>
    <t>Jul13,2026+4-10-40PM</t>
  </si>
  <si>
    <t>Jul13,2026+4-42-25PM</t>
  </si>
  <si>
    <t>Jul13,2026+5-21-33PM</t>
  </si>
  <si>
    <t>Jul13,2026+5-31-01PM</t>
  </si>
  <si>
    <t>Jul13,2026+5-39-08PM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</si>
</sst>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5617D-2BBC-4C21-ADC4-3687FEC8C6E3}">
  <dimension ref="A1:V36"/>
  <sheetViews>
    <sheetView workbookViewId="0">
      <selection sqref="A1:B1048576"/>
    </sheetView>
  </sheetViews>
  <sheetFormatPr defaultRowHeight="14.25"/>
  <sheetData>
    <row r="1" spans="1:22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2" ht="42.75">
      <c r="A2" s="1" t="s">
        <v>11</v>
      </c>
      <c r="B2" s="1">
        <v>4.0356877834891698</v>
      </c>
      <c r="C2" s="1">
        <v>1.3589937337514699</v>
      </c>
      <c r="D2" s="1">
        <v>-3.9701940554398097E-3</v>
      </c>
      <c r="E2" s="1">
        <v>2.2956284800292699</v>
      </c>
      <c r="F2" s="1">
        <v>40.159658853812097</v>
      </c>
      <c r="G2" s="1">
        <v>2.7939384970355301E-3</v>
      </c>
      <c r="H2" s="1"/>
      <c r="L2" s="1"/>
      <c r="M2" s="1"/>
      <c r="U2" s="1"/>
    </row>
    <row r="3" spans="1:22" ht="42.75">
      <c r="A3" s="1" t="s">
        <v>12</v>
      </c>
      <c r="B3" s="1">
        <v>4.0543291932026699</v>
      </c>
      <c r="C3" s="1">
        <v>1.36029211773674</v>
      </c>
      <c r="D3" s="1">
        <v>-4.0522981546429497E-3</v>
      </c>
      <c r="E3" s="1">
        <v>2.2945298292246799</v>
      </c>
      <c r="F3" s="1">
        <v>39.795043679709998</v>
      </c>
      <c r="G3" s="1">
        <v>2.44974593423955E-3</v>
      </c>
      <c r="H3" s="1"/>
      <c r="U3" s="1"/>
      <c r="V3" s="1"/>
    </row>
    <row r="4" spans="1:22" ht="42.75">
      <c r="A4" s="1" t="s">
        <v>13</v>
      </c>
      <c r="B4" s="1">
        <v>4.0440448461837999</v>
      </c>
      <c r="C4" s="1">
        <v>1.3578924052482999</v>
      </c>
      <c r="D4" s="1">
        <v>-3.3319329158448901E-3</v>
      </c>
      <c r="E4" s="1">
        <v>2.2958739766265199</v>
      </c>
      <c r="F4" s="1">
        <v>39.8079405800936</v>
      </c>
      <c r="G4" s="1">
        <v>3.3307056167204301E-3</v>
      </c>
      <c r="H4" s="1"/>
      <c r="U4" s="1"/>
    </row>
    <row r="5" spans="1:22" ht="42.75">
      <c r="A5" s="1" t="s">
        <v>14</v>
      </c>
      <c r="B5" s="1">
        <v>4.0482658159189198</v>
      </c>
      <c r="C5" s="1">
        <v>1.3567049579998101</v>
      </c>
      <c r="D5" s="1">
        <v>-4.6438335435729497E-3</v>
      </c>
      <c r="E5" s="1">
        <v>2.2960808041890499</v>
      </c>
      <c r="F5" s="1">
        <v>40.798890559752998</v>
      </c>
      <c r="G5" s="1">
        <v>2.9420594756283001E-3</v>
      </c>
      <c r="H5" s="1"/>
      <c r="U5" s="1"/>
    </row>
    <row r="6" spans="1:22" ht="42.75">
      <c r="A6" s="1" t="s">
        <v>15</v>
      </c>
      <c r="B6" s="1">
        <v>4.0372658698111801</v>
      </c>
      <c r="C6" s="1">
        <v>1.3617256998945</v>
      </c>
      <c r="D6" s="1">
        <v>-3.9250271687607799E-3</v>
      </c>
      <c r="E6" s="1">
        <v>2.2947081956904798</v>
      </c>
      <c r="F6" s="1">
        <v>39.821871780351103</v>
      </c>
      <c r="G6" s="1">
        <v>2.7606514855659401E-3</v>
      </c>
      <c r="H6" s="1"/>
      <c r="U6" s="1"/>
    </row>
    <row r="7" spans="1:22" ht="42.75">
      <c r="A7" s="1" t="s">
        <v>16</v>
      </c>
      <c r="B7" s="1">
        <v>4.0279639492061596</v>
      </c>
      <c r="C7" s="1">
        <v>1.3622732385499401</v>
      </c>
      <c r="D7" s="1">
        <v>-4.14677214546563E-3</v>
      </c>
      <c r="E7" s="1">
        <v>2.2947310132443999</v>
      </c>
      <c r="F7" s="1">
        <v>39.361711170039001</v>
      </c>
      <c r="G7" s="1">
        <v>3.0821129265700999E-3</v>
      </c>
      <c r="H7" s="1"/>
      <c r="U7" s="1"/>
    </row>
    <row r="8" spans="1:22" ht="42.75">
      <c r="A8" s="1" t="s">
        <v>17</v>
      </c>
      <c r="B8" s="1">
        <v>4.0667523488381301</v>
      </c>
      <c r="C8" s="1">
        <v>1.3665271639833101</v>
      </c>
      <c r="D8" s="1">
        <v>-4.2937465432393096E-3</v>
      </c>
      <c r="E8" s="1">
        <v>2.2939582477837899</v>
      </c>
      <c r="F8" s="1">
        <v>41.0677423641404</v>
      </c>
      <c r="G8" s="1">
        <v>2.2873004979479801E-3</v>
      </c>
      <c r="H8" s="1"/>
      <c r="U8" s="1"/>
    </row>
    <row r="9" spans="1:22" ht="42.75">
      <c r="A9" s="1" t="s">
        <v>18</v>
      </c>
      <c r="B9" s="1">
        <v>4.0183878243548996</v>
      </c>
      <c r="C9" s="1">
        <v>1.3706111639890901</v>
      </c>
      <c r="D9" s="1">
        <v>-3.71014767253274E-3</v>
      </c>
      <c r="E9" s="1">
        <v>2.2948476798224098</v>
      </c>
      <c r="F9" s="1">
        <v>39.486767360146899</v>
      </c>
      <c r="G9" s="1">
        <v>2.2873004957042098E-3</v>
      </c>
      <c r="H9" s="1"/>
      <c r="U9" s="1"/>
    </row>
    <row r="10" spans="1:22" ht="42.75">
      <c r="A10" s="1" t="s">
        <v>19</v>
      </c>
      <c r="B10" s="1">
        <v>4.0314213938624102</v>
      </c>
      <c r="C10" s="1">
        <v>1.3629303102743</v>
      </c>
      <c r="D10" s="1">
        <v>-3.9847886584595E-3</v>
      </c>
      <c r="E10" s="1">
        <v>2.29454115207343</v>
      </c>
      <c r="F10" s="1">
        <v>39.804576318859098</v>
      </c>
      <c r="G10" s="1">
        <v>3.2749227710928402E-3</v>
      </c>
      <c r="H10" s="1"/>
      <c r="U10" s="1"/>
    </row>
    <row r="11" spans="1:22" ht="42.75">
      <c r="A11" s="1" t="s">
        <v>20</v>
      </c>
      <c r="B11" s="1">
        <v>4.0505545969773804</v>
      </c>
      <c r="C11" s="1">
        <v>1.3567648590916299</v>
      </c>
      <c r="D11" s="1">
        <v>-3.3305315114730699E-3</v>
      </c>
      <c r="E11" s="1">
        <v>2.2948787266062101</v>
      </c>
      <c r="F11" s="1">
        <v>41.5792709923941</v>
      </c>
      <c r="G11" s="1">
        <v>2.2873004997720301E-3</v>
      </c>
      <c r="H11" s="1"/>
      <c r="U11" s="1"/>
    </row>
    <row r="12" spans="1:22" ht="42.75">
      <c r="A12" s="1" t="s">
        <v>21</v>
      </c>
      <c r="B12" s="1">
        <v>4.0517862191438496</v>
      </c>
      <c r="C12" s="1">
        <v>1.3606762252429401</v>
      </c>
      <c r="D12" s="1">
        <v>-3.9821402804406702E-3</v>
      </c>
      <c r="E12" s="1">
        <v>2.29510709042553</v>
      </c>
      <c r="F12" s="1">
        <v>40.460771971173401</v>
      </c>
      <c r="G12" s="1">
        <v>2.5417134065879999E-3</v>
      </c>
      <c r="H12" s="1"/>
      <c r="U12" s="1"/>
    </row>
    <row r="13" spans="1:22" ht="42.75">
      <c r="A13" s="1" t="s">
        <v>22</v>
      </c>
      <c r="B13" s="1">
        <v>4.0424645012040497</v>
      </c>
      <c r="C13" s="1">
        <v>1.36113090830591</v>
      </c>
      <c r="D13" s="1">
        <v>-3.9570392987137897E-3</v>
      </c>
      <c r="E13" s="1">
        <v>2.2951784468488898</v>
      </c>
      <c r="F13" s="1">
        <v>39.6251061225204</v>
      </c>
      <c r="G13" s="1">
        <v>2.3940318183173701E-3</v>
      </c>
      <c r="H13" s="1"/>
      <c r="R13" s="1"/>
    </row>
    <row r="14" spans="1:22" ht="42.75">
      <c r="A14" s="1" t="s">
        <v>23</v>
      </c>
      <c r="B14" s="1">
        <v>4.0243487276243002</v>
      </c>
      <c r="C14" s="1">
        <v>1.3628899926525899</v>
      </c>
      <c r="D14" s="1">
        <v>-3.9693729459934803E-3</v>
      </c>
      <c r="E14" s="1">
        <v>2.2954902070209302</v>
      </c>
      <c r="F14" s="1">
        <v>39.6750278300335</v>
      </c>
      <c r="G14" s="1">
        <v>2.64736290738978E-3</v>
      </c>
      <c r="H14" s="1"/>
      <c r="R14" s="1"/>
    </row>
    <row r="15" spans="1:22" ht="42.75">
      <c r="A15" s="1" t="s">
        <v>24</v>
      </c>
      <c r="B15" s="1">
        <v>4.0367409025359304</v>
      </c>
      <c r="C15" s="1">
        <v>1.3632382653604</v>
      </c>
      <c r="D15" s="1">
        <v>-4.2913890026920302E-3</v>
      </c>
      <c r="E15" s="1">
        <v>2.2951482600945399</v>
      </c>
      <c r="F15" s="1">
        <v>39.6695412800089</v>
      </c>
      <c r="G15" s="1">
        <v>2.7289172801938299E-3</v>
      </c>
      <c r="H15" s="1"/>
      <c r="R15" s="1"/>
    </row>
    <row r="16" spans="1:22" ht="42.75">
      <c r="A16" s="1" t="s">
        <v>25</v>
      </c>
      <c r="B16" s="1">
        <v>4.0491156124478902</v>
      </c>
      <c r="C16" s="1">
        <v>1.3609619799967601</v>
      </c>
      <c r="D16" s="1">
        <v>-3.7878528322253498E-3</v>
      </c>
      <c r="E16" s="1">
        <v>2.2953894020603198</v>
      </c>
      <c r="F16" s="1">
        <v>39.742590530048702</v>
      </c>
      <c r="G16" s="1">
        <v>2.67492660847559E-3</v>
      </c>
      <c r="H16" s="1"/>
      <c r="R16" s="1"/>
    </row>
    <row r="17" spans="1:8" ht="42.75">
      <c r="A17" s="1" t="s">
        <v>26</v>
      </c>
      <c r="B17" s="1">
        <v>4.0406778045491096</v>
      </c>
      <c r="C17" s="1">
        <v>1.3614513762498801</v>
      </c>
      <c r="D17" s="1">
        <v>-3.6362311563827398E-3</v>
      </c>
      <c r="E17" s="1">
        <v>2.2951579830855402</v>
      </c>
      <c r="F17" s="1">
        <v>39.723872825362001</v>
      </c>
      <c r="G17" s="1">
        <v>2.6180687198662299E-3</v>
      </c>
      <c r="H17" s="1"/>
    </row>
    <row r="18" spans="1:8" ht="42.75">
      <c r="A18" s="1" t="s">
        <v>27</v>
      </c>
      <c r="B18" s="1">
        <v>4.0437611760653196</v>
      </c>
      <c r="C18" s="1">
        <v>1.3524567045588201</v>
      </c>
      <c r="D18" s="1">
        <v>-4.1172262518730804E-3</v>
      </c>
      <c r="E18" s="1">
        <v>2.29496503638584</v>
      </c>
      <c r="F18" s="1">
        <v>39.772192470000199</v>
      </c>
      <c r="G18" s="1">
        <v>2.6767926673855499E-3</v>
      </c>
      <c r="H18" s="1"/>
    </row>
    <row r="19" spans="1:8" ht="42.75">
      <c r="A19" s="1" t="s">
        <v>28</v>
      </c>
      <c r="B19" s="1">
        <v>4.0430873829414802</v>
      </c>
      <c r="C19" s="1">
        <v>1.3566467547352901</v>
      </c>
      <c r="D19" s="1">
        <v>-3.4704429680469501E-3</v>
      </c>
      <c r="E19" s="1">
        <v>2.2945356862678099</v>
      </c>
      <c r="F19" s="1">
        <v>40.6987806297155</v>
      </c>
      <c r="G19" s="1">
        <v>2.2877089873494E-3</v>
      </c>
      <c r="H19" s="1"/>
    </row>
    <row r="20" spans="1:8" ht="42.75">
      <c r="A20" s="1" t="s">
        <v>29</v>
      </c>
      <c r="B20" s="1">
        <v>4.0311378792119203</v>
      </c>
      <c r="C20" s="1">
        <v>1.36246191224355</v>
      </c>
      <c r="D20" s="1">
        <v>-4.3423460669729701E-3</v>
      </c>
      <c r="E20" s="1">
        <v>2.2949431624125198</v>
      </c>
      <c r="F20" s="1">
        <v>39.840494090043599</v>
      </c>
      <c r="G20" s="1">
        <v>2.6431953600950398E-3</v>
      </c>
      <c r="H20" s="1"/>
    </row>
    <row r="21" spans="1:8" ht="42.75">
      <c r="A21" s="1" t="s">
        <v>30</v>
      </c>
      <c r="B21" s="1">
        <v>4.01331392262989</v>
      </c>
      <c r="C21" s="1">
        <v>1.3645179673488499</v>
      </c>
      <c r="D21" s="1">
        <v>-4.6872941417981998E-3</v>
      </c>
      <c r="E21" s="1">
        <v>2.2956295874080501</v>
      </c>
      <c r="F21" s="1">
        <v>39.8955274496887</v>
      </c>
      <c r="G21" s="1">
        <v>2.7111908374430598E-3</v>
      </c>
      <c r="H21" s="1"/>
    </row>
    <row r="22" spans="1:8" ht="42.75">
      <c r="A22" s="1" t="s">
        <v>31</v>
      </c>
      <c r="B22" s="1">
        <v>4.0578910745577002</v>
      </c>
      <c r="C22" s="1">
        <v>1.35683762634268</v>
      </c>
      <c r="D22" s="1">
        <v>-4.0116870136340703E-3</v>
      </c>
      <c r="E22" s="1">
        <v>2.2955904716975901</v>
      </c>
      <c r="F22" s="1">
        <v>40.904660726188602</v>
      </c>
      <c r="G22" s="1">
        <v>2.9460157104063199E-3</v>
      </c>
      <c r="H22" s="1"/>
    </row>
    <row r="23" spans="1:8" ht="42.75">
      <c r="A23" s="1" t="s">
        <v>32</v>
      </c>
      <c r="B23" s="1">
        <v>4.02794326730218</v>
      </c>
      <c r="C23" s="1">
        <v>1.35643388236877</v>
      </c>
      <c r="D23" s="1">
        <v>-4.0838562344692499E-3</v>
      </c>
      <c r="E23" s="1">
        <v>2.3452309357518901</v>
      </c>
      <c r="F23" s="1">
        <v>39.943264793272697</v>
      </c>
      <c r="G23" s="1">
        <v>2.28730101057565E-3</v>
      </c>
      <c r="H23" s="1"/>
    </row>
    <row r="24" spans="1:8" ht="42.75">
      <c r="A24" s="1" t="s">
        <v>33</v>
      </c>
      <c r="B24" s="1">
        <v>4.0616651770599299</v>
      </c>
      <c r="C24" s="1">
        <v>1.3578898734271501</v>
      </c>
      <c r="D24" s="1">
        <v>-4.00771480317858E-3</v>
      </c>
      <c r="E24" s="1">
        <v>2.2949311895947999</v>
      </c>
      <c r="F24" s="1">
        <v>40.7042173740926</v>
      </c>
      <c r="G24" s="1">
        <v>3.3427219933580099E-3</v>
      </c>
      <c r="H24" s="1"/>
    </row>
    <row r="25" spans="1:8" ht="42.75">
      <c r="A25" s="1" t="s">
        <v>34</v>
      </c>
      <c r="B25" s="1">
        <v>4.02065487780051</v>
      </c>
      <c r="C25" s="1">
        <v>1.3586875501314499</v>
      </c>
      <c r="D25" s="1">
        <v>-4.3030135400685199E-3</v>
      </c>
      <c r="E25" s="1">
        <v>2.2952528049811201</v>
      </c>
      <c r="F25" s="1">
        <v>39.955774840023999</v>
      </c>
      <c r="G25" s="1">
        <v>2.8294268929103502E-3</v>
      </c>
      <c r="H25" s="1"/>
    </row>
    <row r="26" spans="1:8" ht="42.75">
      <c r="A26" s="1" t="s">
        <v>35</v>
      </c>
      <c r="B26" s="1">
        <v>4.0194143809069702</v>
      </c>
      <c r="C26" s="1">
        <v>1.35568116867907</v>
      </c>
      <c r="D26" s="1">
        <v>-4.4168283842240504E-3</v>
      </c>
      <c r="E26" s="1">
        <v>2.29556189498226</v>
      </c>
      <c r="F26" s="1">
        <v>40.456717370357701</v>
      </c>
      <c r="G26" s="1">
        <v>2.7995882206894099E-3</v>
      </c>
      <c r="H26" s="1"/>
    </row>
    <row r="27" spans="1:8" ht="42.75">
      <c r="A27" s="1" t="s">
        <v>36</v>
      </c>
      <c r="B27" s="1">
        <v>4.0195181922825496</v>
      </c>
      <c r="C27" s="1">
        <v>1.3596489723205401</v>
      </c>
      <c r="D27" s="1">
        <v>-4.1346165319289399E-3</v>
      </c>
      <c r="E27" s="1">
        <v>2.3250350755254701</v>
      </c>
      <c r="F27" s="1">
        <v>40.004517640004103</v>
      </c>
      <c r="G27" s="1">
        <v>3.00956547622244E-3</v>
      </c>
      <c r="H27" s="1"/>
    </row>
    <row r="28" spans="1:8" ht="42.75">
      <c r="A28" s="1" t="s">
        <v>37</v>
      </c>
      <c r="B28" s="1">
        <v>4.0060394450385299</v>
      </c>
      <c r="C28" s="1">
        <v>1.3589467237439801</v>
      </c>
      <c r="D28" s="1">
        <v>-4.8362163417972302E-3</v>
      </c>
      <c r="E28" s="1">
        <v>2.1259425809261101</v>
      </c>
      <c r="F28" s="1">
        <v>39.995392650262403</v>
      </c>
      <c r="G28" s="1">
        <v>3.0103043477044599E-3</v>
      </c>
      <c r="H28" s="1"/>
    </row>
    <row r="29" spans="1:8" ht="42.75">
      <c r="A29" s="1" t="s">
        <v>38</v>
      </c>
      <c r="B29" s="1">
        <v>4.03113906858741</v>
      </c>
      <c r="C29" s="1">
        <v>1.3553615729188999</v>
      </c>
      <c r="D29" s="1">
        <v>-4.0308943748221604E-3</v>
      </c>
      <c r="E29" s="1">
        <v>2.1250535523527398</v>
      </c>
      <c r="F29" s="1">
        <v>39.998476710037799</v>
      </c>
      <c r="G29" s="1">
        <v>2.78661393101663E-3</v>
      </c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646E0-737D-49FA-A2CA-7848F848076B}">
  <dimension ref="A1:T37"/>
  <sheetViews>
    <sheetView zoomScale="99" zoomScaleNormal="99" workbookViewId="0">
      <selection sqref="A1:B1048576"/>
    </sheetView>
  </sheetViews>
  <sheetFormatPr defaultRowHeight="14.25"/>
  <sheetData>
    <row r="1" spans="1:20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/>
      <c r="L1" s="1"/>
      <c r="M1" s="1"/>
      <c r="N1" s="1"/>
      <c r="O1" s="1"/>
      <c r="P1" s="1"/>
      <c r="Q1" s="1"/>
      <c r="R1" s="1"/>
      <c r="S1" s="1"/>
      <c r="T1" s="1"/>
    </row>
    <row r="2" spans="1:20" ht="42.75">
      <c r="A2" s="1" t="s">
        <v>11</v>
      </c>
      <c r="B2" s="1">
        <v>6.4896125092345797E-2</v>
      </c>
      <c r="C2" s="1">
        <v>1.6489052688978301</v>
      </c>
      <c r="D2" s="1">
        <v>-1.8716537537253301E-4</v>
      </c>
      <c r="E2" s="2">
        <v>-3.5883369219265799E-5</v>
      </c>
      <c r="F2" s="1">
        <v>1.50439839347147</v>
      </c>
      <c r="G2" s="1">
        <v>39.841445316576802</v>
      </c>
      <c r="H2" s="1">
        <v>7.3249082742888195E-4</v>
      </c>
      <c r="L2" s="1"/>
    </row>
    <row r="3" spans="1:20" ht="42.75">
      <c r="A3" s="1" t="s">
        <v>12</v>
      </c>
      <c r="B3" s="1">
        <v>6.5241502827778394E-2</v>
      </c>
      <c r="C3" s="1">
        <v>1.6471156336470001</v>
      </c>
      <c r="D3" s="1">
        <v>6.4119912260553603E-4</v>
      </c>
      <c r="E3" s="1">
        <v>-1.79977144130785E-4</v>
      </c>
      <c r="F3" s="1">
        <v>2.00419334592682</v>
      </c>
      <c r="G3" s="1">
        <v>40.799754733238203</v>
      </c>
      <c r="H3" s="1">
        <v>7.5221398477260803E-4</v>
      </c>
      <c r="L3" s="1"/>
    </row>
    <row r="4" spans="1:20" ht="42.75">
      <c r="A4" s="1" t="s">
        <v>13</v>
      </c>
      <c r="B4" s="1">
        <v>6.4980468998503793E-2</v>
      </c>
      <c r="C4" s="1">
        <v>1.64682653435071</v>
      </c>
      <c r="D4" s="1">
        <v>5.3525861737928403E-4</v>
      </c>
      <c r="E4" s="1">
        <v>-1.56661092218066E-4</v>
      </c>
      <c r="F4" s="1">
        <v>2.2135504390041199</v>
      </c>
      <c r="G4" s="1">
        <v>40.820715308662997</v>
      </c>
      <c r="H4" s="1">
        <v>7.5221022377860601E-4</v>
      </c>
    </row>
    <row r="5" spans="1:20" ht="42.75">
      <c r="A5" s="1" t="s">
        <v>14</v>
      </c>
      <c r="B5" s="1">
        <v>6.5514217770456601E-2</v>
      </c>
      <c r="C5" s="1">
        <v>1.6472073470222099</v>
      </c>
      <c r="D5" s="1">
        <v>1.3209083097637799E-3</v>
      </c>
      <c r="E5" s="1">
        <v>-3.8348484728154101E-4</v>
      </c>
      <c r="F5" s="1">
        <v>1.7543454543383099</v>
      </c>
      <c r="G5" s="1">
        <v>41.183647345050701</v>
      </c>
      <c r="H5" s="1">
        <v>1.15432129578544E-3</v>
      </c>
    </row>
    <row r="6" spans="1:20" ht="42.75">
      <c r="A6" s="1" t="s">
        <v>15</v>
      </c>
      <c r="B6" s="1">
        <v>6.3922916299629498E-2</v>
      </c>
      <c r="C6" s="1">
        <v>1.64695593343627</v>
      </c>
      <c r="D6" s="2">
        <v>-1.7364119665566801E-5</v>
      </c>
      <c r="E6" s="2">
        <v>-2.6589153950067601E-5</v>
      </c>
      <c r="F6" s="1">
        <v>2.4627785371180702</v>
      </c>
      <c r="G6" s="1">
        <v>40.326145872444599</v>
      </c>
      <c r="H6" s="1">
        <v>7.1636395727049998E-4</v>
      </c>
    </row>
    <row r="7" spans="1:20" ht="42.75">
      <c r="A7" s="1" t="s">
        <v>16</v>
      </c>
      <c r="B7" s="1">
        <v>6.4968524453632603E-2</v>
      </c>
      <c r="C7" s="1">
        <v>1.6501940896549401</v>
      </c>
      <c r="D7" s="1">
        <v>1.6848416627275801E-4</v>
      </c>
      <c r="E7" s="1">
        <v>-1.8392707019857299E-4</v>
      </c>
      <c r="F7" s="1">
        <v>1.5034178939826801</v>
      </c>
      <c r="G7" s="1">
        <v>40.3561048284921</v>
      </c>
      <c r="H7" s="1">
        <v>7.5220490522947203E-4</v>
      </c>
    </row>
    <row r="8" spans="1:20" ht="42.75">
      <c r="A8" s="1" t="s">
        <v>17</v>
      </c>
      <c r="B8" s="1">
        <v>6.4822401873769905E-2</v>
      </c>
      <c r="C8" s="1">
        <v>1.650409194466</v>
      </c>
      <c r="D8" s="1">
        <v>-4.22013726994416E-4</v>
      </c>
      <c r="E8" s="2">
        <v>1.47298933265976E-5</v>
      </c>
      <c r="F8" s="1">
        <v>2.2547214399647202</v>
      </c>
      <c r="G8" s="1">
        <v>40.435776637143597</v>
      </c>
      <c r="H8" s="1">
        <v>7.5221082557864203E-4</v>
      </c>
    </row>
    <row r="9" spans="1:20" ht="42.75">
      <c r="A9" s="1" t="s">
        <v>18</v>
      </c>
      <c r="B9" s="1">
        <v>6.4645386104361796E-2</v>
      </c>
      <c r="C9" s="1">
        <v>1.6511046344257601</v>
      </c>
      <c r="D9" s="1">
        <v>-1.19380981203536E-4</v>
      </c>
      <c r="E9" s="2">
        <v>-4.6642466346437302E-5</v>
      </c>
      <c r="F9" s="1">
        <v>2.2542514178178998</v>
      </c>
      <c r="G9" s="1">
        <v>39.891042790854499</v>
      </c>
      <c r="H9" s="1">
        <v>8.9943553010377302E-4</v>
      </c>
    </row>
    <row r="10" spans="1:20" ht="42.75">
      <c r="A10" s="1" t="s">
        <v>19</v>
      </c>
      <c r="B10" s="1">
        <v>6.4722728337579E-2</v>
      </c>
      <c r="C10" s="1">
        <v>1.65173904312147</v>
      </c>
      <c r="D10" s="1">
        <v>-2.3315150257779399E-4</v>
      </c>
      <c r="E10" s="1">
        <v>-1.1828042711885701E-4</v>
      </c>
      <c r="F10" s="1">
        <v>1.75363889067504</v>
      </c>
      <c r="G10" s="1">
        <v>40.538851158397897</v>
      </c>
      <c r="H10" s="1">
        <v>7.5221301947796205E-4</v>
      </c>
    </row>
    <row r="11" spans="1:20" ht="42.75">
      <c r="A11" s="1" t="s">
        <v>20</v>
      </c>
      <c r="B11" s="1">
        <v>6.5198191332667299E-2</v>
      </c>
      <c r="C11" s="1">
        <v>1.6491103552508199</v>
      </c>
      <c r="D11" s="1">
        <v>4.6175034500979198E-4</v>
      </c>
      <c r="E11" s="1">
        <v>-2.30119837112956E-4</v>
      </c>
      <c r="F11" s="1">
        <v>1.7533619767689199</v>
      </c>
      <c r="G11" s="1">
        <v>40.536141189137297</v>
      </c>
      <c r="H11" s="1">
        <v>7.5220814089091805E-4</v>
      </c>
    </row>
    <row r="12" spans="1:20" ht="42.75">
      <c r="A12" s="1" t="s">
        <v>21</v>
      </c>
      <c r="B12" s="1">
        <v>6.5118995543562194E-2</v>
      </c>
      <c r="C12" s="1">
        <v>1.64866726512319</v>
      </c>
      <c r="D12" s="1">
        <v>8.6370606890645595E-4</v>
      </c>
      <c r="E12" s="1">
        <v>-2.35305833877525E-4</v>
      </c>
      <c r="F12" s="1">
        <v>2.2559915641938799</v>
      </c>
      <c r="G12" s="1">
        <v>40.572882166146499</v>
      </c>
      <c r="H12" s="1">
        <v>7.5222088547527096E-4</v>
      </c>
    </row>
    <row r="13" spans="1:20" ht="42.75">
      <c r="A13" s="1" t="s">
        <v>22</v>
      </c>
      <c r="B13" s="1">
        <v>6.4744655225756606E-2</v>
      </c>
      <c r="C13" s="1">
        <v>1.6484857954651999</v>
      </c>
      <c r="D13" s="1">
        <v>-1.71938478010809E-4</v>
      </c>
      <c r="E13" s="2">
        <v>6.5475930703844804E-6</v>
      </c>
      <c r="F13" s="1">
        <v>2.2513330055590601</v>
      </c>
      <c r="G13" s="1">
        <v>39.650528630462098</v>
      </c>
      <c r="H13" s="1">
        <v>1.1567964930471999E-3</v>
      </c>
    </row>
    <row r="14" spans="1:20" ht="42.75">
      <c r="A14" s="1" t="s">
        <v>23</v>
      </c>
      <c r="B14" s="1">
        <v>6.5055203385797997E-2</v>
      </c>
      <c r="C14" s="1">
        <v>1.6484666521959599</v>
      </c>
      <c r="D14" s="1">
        <v>7.9919555471747296E-4</v>
      </c>
      <c r="E14" s="1">
        <v>-1.7639679029406901E-4</v>
      </c>
      <c r="F14" s="1">
        <v>2.2538443117345901</v>
      </c>
      <c r="G14" s="1">
        <v>40.674247999277497</v>
      </c>
      <c r="H14" s="1">
        <v>7.52208993515213E-4</v>
      </c>
    </row>
    <row r="15" spans="1:20" ht="42.75">
      <c r="A15" s="1" t="s">
        <v>24</v>
      </c>
      <c r="B15" s="1">
        <v>6.4948449195513402E-2</v>
      </c>
      <c r="C15" s="1">
        <v>1.64897113077215</v>
      </c>
      <c r="D15" s="1">
        <v>6.6449329206926303E-4</v>
      </c>
      <c r="E15" s="1">
        <v>-1.9285910341468101E-4</v>
      </c>
      <c r="F15" s="1">
        <v>2.2544456869006302</v>
      </c>
      <c r="G15" s="1">
        <v>40.705348906219399</v>
      </c>
      <c r="H15" s="1">
        <v>7.5221724454476401E-4</v>
      </c>
    </row>
    <row r="16" spans="1:20" ht="42.75">
      <c r="A16" s="1" t="s">
        <v>25</v>
      </c>
      <c r="B16" s="1">
        <v>6.4945497227791402E-2</v>
      </c>
      <c r="C16" s="1">
        <v>1.64937768743458</v>
      </c>
      <c r="D16" s="1">
        <v>4.0581168107304497E-4</v>
      </c>
      <c r="E16" s="1">
        <v>-1.7462687930735999E-4</v>
      </c>
      <c r="F16" s="1">
        <v>1.7541266745699999</v>
      </c>
      <c r="G16" s="1">
        <v>40.7181728306726</v>
      </c>
      <c r="H16" s="1">
        <v>7.5220954969293797E-4</v>
      </c>
    </row>
    <row r="17" spans="1:8" ht="42.75">
      <c r="A17" s="1" t="s">
        <v>26</v>
      </c>
      <c r="B17" s="1">
        <v>6.4863395330163096E-2</v>
      </c>
      <c r="C17" s="1">
        <v>1.6489426317198701</v>
      </c>
      <c r="D17" s="1">
        <v>6.2979209190637997E-4</v>
      </c>
      <c r="E17" s="1">
        <v>-1.6592203020265601E-4</v>
      </c>
      <c r="F17" s="1">
        <v>2.2531264155031399</v>
      </c>
      <c r="G17" s="1">
        <v>39.764358533595797</v>
      </c>
      <c r="H17" s="1">
        <v>1.1026591604233001E-3</v>
      </c>
    </row>
    <row r="18" spans="1:8" ht="42.75">
      <c r="A18" s="1" t="s">
        <v>27</v>
      </c>
      <c r="B18" s="1">
        <v>6.4713449109524701E-2</v>
      </c>
      <c r="C18" s="1">
        <v>1.6481744217136001</v>
      </c>
      <c r="D18" s="2">
        <v>6.7972185607939993E-5</v>
      </c>
      <c r="E18" s="1">
        <v>-1.2793985876687099E-4</v>
      </c>
      <c r="F18" s="1">
        <v>1.75326503269537</v>
      </c>
      <c r="G18" s="1">
        <v>40.170611918737698</v>
      </c>
      <c r="H18" s="1">
        <v>7.6906148602765196E-4</v>
      </c>
    </row>
    <row r="19" spans="1:8" ht="42.75">
      <c r="A19" s="1" t="s">
        <v>28</v>
      </c>
      <c r="B19" s="1">
        <v>6.4825237757855897E-2</v>
      </c>
      <c r="C19" s="1">
        <v>1.6465873748131099</v>
      </c>
      <c r="D19" s="1">
        <v>2.57529520245287E-4</v>
      </c>
      <c r="E19" s="2">
        <v>-7.0980137139593994E-5</v>
      </c>
      <c r="F19" s="1">
        <v>1.7551889206300999</v>
      </c>
      <c r="G19" s="1">
        <v>40.845523906982599</v>
      </c>
      <c r="H19" s="1">
        <v>7.5220777233973304E-4</v>
      </c>
    </row>
    <row r="20" spans="1:8" ht="42.75">
      <c r="A20" s="1" t="s">
        <v>29</v>
      </c>
      <c r="B20" s="1">
        <v>6.4470305505123601E-2</v>
      </c>
      <c r="C20" s="1">
        <v>1.64618185252446</v>
      </c>
      <c r="D20" s="1">
        <v>1.9004085787397299E-4</v>
      </c>
      <c r="E20" s="2">
        <v>-2.2136627076530899E-5</v>
      </c>
      <c r="F20" s="1">
        <v>2.75426667909464</v>
      </c>
      <c r="G20" s="1">
        <v>39.889892849373403</v>
      </c>
      <c r="H20" s="1">
        <v>5.91059597309157E-4</v>
      </c>
    </row>
    <row r="21" spans="1:8" ht="42.75">
      <c r="A21" s="1" t="s">
        <v>30</v>
      </c>
      <c r="B21" s="1">
        <v>6.5433699222487096E-2</v>
      </c>
      <c r="C21" s="1">
        <v>1.6468783109107299</v>
      </c>
      <c r="D21" s="1">
        <v>1.33300992379283E-3</v>
      </c>
      <c r="E21" s="1">
        <v>-3.2264280559848201E-4</v>
      </c>
      <c r="F21" s="1">
        <v>2.2559095159999099</v>
      </c>
      <c r="G21" s="1">
        <v>40.906917872165401</v>
      </c>
      <c r="H21" s="1">
        <v>7.5220837551692396E-4</v>
      </c>
    </row>
    <row r="22" spans="1:8" ht="42.75">
      <c r="A22" s="1" t="s">
        <v>31</v>
      </c>
      <c r="B22" s="1">
        <v>6.4237906062167796E-2</v>
      </c>
      <c r="C22" s="1">
        <v>1.64777302981577</v>
      </c>
      <c r="D22" s="1">
        <v>6.8403317447661199E-4</v>
      </c>
      <c r="E22" s="1">
        <v>-1.61806308567992E-4</v>
      </c>
      <c r="F22" s="1">
        <v>2.5032163574863699</v>
      </c>
      <c r="G22" s="1">
        <v>39.948779855544998</v>
      </c>
      <c r="H22" s="1">
        <v>7.6388393414980799E-4</v>
      </c>
    </row>
    <row r="23" spans="1:8" ht="42.75">
      <c r="A23" s="1" t="s">
        <v>32</v>
      </c>
      <c r="B23" s="1">
        <v>6.51602437216873E-2</v>
      </c>
      <c r="C23" s="1">
        <v>1.64661307141527</v>
      </c>
      <c r="D23" s="1">
        <v>1.4544721931774899E-3</v>
      </c>
      <c r="E23" s="1">
        <v>-2.6511739956727102E-4</v>
      </c>
      <c r="F23" s="1">
        <v>2.7137612957203201</v>
      </c>
      <c r="G23" s="1">
        <v>40.935486681055004</v>
      </c>
      <c r="H23" s="1">
        <v>6.9120867581541601E-4</v>
      </c>
    </row>
    <row r="24" spans="1:8" ht="42.75">
      <c r="A24" s="1" t="s">
        <v>33</v>
      </c>
      <c r="B24" s="1">
        <v>6.4591400893665399E-2</v>
      </c>
      <c r="C24" s="1">
        <v>1.64647748915448</v>
      </c>
      <c r="D24" s="1">
        <v>7.5016398108375198E-4</v>
      </c>
      <c r="E24" s="1">
        <v>-1.4171338385419999E-4</v>
      </c>
      <c r="F24" s="1">
        <v>2.5022322732212601</v>
      </c>
      <c r="G24" s="1">
        <v>40.440644286531402</v>
      </c>
      <c r="H24" s="1">
        <v>9.9613005209969003E-4</v>
      </c>
    </row>
    <row r="25" spans="1:8" ht="42.75">
      <c r="A25" s="1" t="s">
        <v>34</v>
      </c>
      <c r="B25" s="1">
        <v>6.4621020370609905E-2</v>
      </c>
      <c r="C25" s="1">
        <v>1.6466076192117001</v>
      </c>
      <c r="D25" s="1">
        <v>1.1285349524958999E-3</v>
      </c>
      <c r="E25" s="1">
        <v>-2.2444795525635599E-4</v>
      </c>
      <c r="F25" s="1">
        <v>2.0047659776812998</v>
      </c>
      <c r="G25" s="1">
        <v>41.749517694573399</v>
      </c>
      <c r="H25" s="1">
        <v>6.0499585182614802E-4</v>
      </c>
    </row>
    <row r="26" spans="1:8" ht="42.75">
      <c r="A26" s="1" t="s">
        <v>35</v>
      </c>
      <c r="B26" s="1">
        <v>6.4713175919996493E-2</v>
      </c>
      <c r="C26" s="1">
        <v>1.6460373213117701</v>
      </c>
      <c r="D26" s="1">
        <v>1.5195491112096201E-3</v>
      </c>
      <c r="E26" s="1">
        <v>-3.0803046884285998E-4</v>
      </c>
      <c r="F26" s="1">
        <v>2.5053486406805199</v>
      </c>
      <c r="G26" s="1">
        <v>40.066614858403803</v>
      </c>
      <c r="H26" s="1">
        <v>8.2811674953733004E-4</v>
      </c>
    </row>
    <row r="27" spans="1:8" ht="42.75">
      <c r="A27" s="1" t="s">
        <v>36</v>
      </c>
      <c r="B27" s="1">
        <v>6.4608197537483703E-2</v>
      </c>
      <c r="C27" s="1">
        <v>1.64463491274189</v>
      </c>
      <c r="D27" s="1">
        <v>6.2658825883887598E-4</v>
      </c>
      <c r="E27" s="1">
        <v>-1.5362762784175399E-4</v>
      </c>
      <c r="F27" s="1">
        <v>1.8347590513925001</v>
      </c>
      <c r="G27" s="1">
        <v>41.839977199731401</v>
      </c>
      <c r="H27" s="1">
        <v>6.0029900465471205E-4</v>
      </c>
    </row>
    <row r="28" spans="1:8" ht="42.75">
      <c r="A28" s="1" t="s">
        <v>37</v>
      </c>
      <c r="B28" s="1">
        <v>6.4507451500493501E-2</v>
      </c>
      <c r="C28" s="1">
        <v>1.6445019588141601</v>
      </c>
      <c r="D28" s="1">
        <v>8.2620117838240199E-4</v>
      </c>
      <c r="E28" s="1">
        <v>-1.31340818125899E-4</v>
      </c>
      <c r="F28" s="1">
        <v>2.58392102339036</v>
      </c>
      <c r="G28" s="1">
        <v>41.0152864056002</v>
      </c>
      <c r="H28" s="1">
        <v>7.5220771155717903E-4</v>
      </c>
    </row>
    <row r="29" spans="1:8" ht="42.75">
      <c r="A29" s="1" t="s">
        <v>38</v>
      </c>
      <c r="B29" s="1">
        <v>6.4884214968972106E-2</v>
      </c>
      <c r="C29" s="1">
        <v>1.64580515169229</v>
      </c>
      <c r="D29" s="1">
        <v>1.4896118497053799E-3</v>
      </c>
      <c r="E29" s="1">
        <v>-3.3275212705288098E-4</v>
      </c>
      <c r="F29" s="1">
        <v>1.83525278377538</v>
      </c>
      <c r="G29" s="1">
        <v>41.005453916708703</v>
      </c>
      <c r="H29" s="1">
        <v>7.5220844896903998E-4</v>
      </c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2"/>
      <c r="E31" s="2"/>
      <c r="F31" s="1"/>
      <c r="G31" s="1"/>
      <c r="H31" s="1"/>
    </row>
    <row r="32" spans="1:8">
      <c r="A32" s="1"/>
      <c r="B32" s="1"/>
      <c r="C32" s="1"/>
      <c r="D32" s="1"/>
      <c r="E32" s="2"/>
      <c r="F32" s="1"/>
      <c r="G32" s="1"/>
      <c r="H32" s="1"/>
    </row>
    <row r="33" spans="1:8">
      <c r="A33" s="1"/>
      <c r="B33" s="1"/>
      <c r="C33" s="1"/>
      <c r="D33" s="2"/>
      <c r="E33" s="2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2"/>
      <c r="F35" s="1"/>
      <c r="G35" s="1"/>
      <c r="H35" s="1"/>
    </row>
    <row r="36" spans="1:8">
      <c r="A36" s="1"/>
      <c r="B36" s="1"/>
      <c r="C36" s="1"/>
      <c r="D36" s="1"/>
      <c r="E36" s="2"/>
      <c r="F36" s="1"/>
      <c r="G36" s="1"/>
      <c r="H36" s="1"/>
    </row>
    <row r="37" spans="1:8">
      <c r="A37" s="1"/>
      <c r="B37" s="1"/>
      <c r="C37" s="1"/>
      <c r="D37" s="2"/>
      <c r="E37" s="2"/>
      <c r="F37" s="1"/>
      <c r="G37" s="1"/>
      <c r="H3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CB368-1F4F-4C65-B86B-93EC676CB77B}">
  <dimension ref="A1:P37"/>
  <sheetViews>
    <sheetView tabSelected="1" workbookViewId="0">
      <selection activeCell="J6" sqref="J6"/>
    </sheetView>
  </sheetViews>
  <sheetFormatPr defaultRowHeight="14.25"/>
  <sheetData>
    <row r="1" spans="1:11">
      <c r="A1" s="1" t="s">
        <v>0</v>
      </c>
      <c r="B1" s="1" t="s">
        <v>4</v>
      </c>
      <c r="C1" s="1" t="s">
        <v>4</v>
      </c>
      <c r="J1" s="1"/>
      <c r="K1" s="1"/>
    </row>
    <row r="2" spans="1:11" ht="42.75">
      <c r="A2" s="1" t="s">
        <v>16</v>
      </c>
      <c r="B2" s="1">
        <v>4.0279639492061596</v>
      </c>
      <c r="C2" s="1">
        <v>6.4968524453632603E-2</v>
      </c>
      <c r="J2" s="1"/>
    </row>
    <row r="3" spans="1:11" ht="42.75">
      <c r="A3" s="1" t="s">
        <v>17</v>
      </c>
      <c r="B3" s="1">
        <v>4.0667523488381301</v>
      </c>
      <c r="C3" s="1">
        <v>6.4822401873769905E-2</v>
      </c>
      <c r="G3">
        <v>894</v>
      </c>
      <c r="H3">
        <v>456</v>
      </c>
      <c r="J3" s="1"/>
    </row>
    <row r="4" spans="1:11" ht="42.75">
      <c r="A4" s="1" t="s">
        <v>18</v>
      </c>
      <c r="B4" s="1">
        <v>4.0183878243548996</v>
      </c>
      <c r="C4" s="1">
        <v>6.4645386104361796E-2</v>
      </c>
      <c r="F4" t="s">
        <v>1</v>
      </c>
      <c r="G4">
        <f>AVERAGE(B2:B29)</f>
        <v>4.0369776154905086</v>
      </c>
      <c r="H4">
        <f>AVERAGE(C2:C29)</f>
        <v>6.483410577033491E-2</v>
      </c>
      <c r="J4" s="1"/>
    </row>
    <row r="5" spans="1:11" ht="42.75">
      <c r="A5" s="1" t="s">
        <v>19</v>
      </c>
      <c r="B5" s="1">
        <v>4.0314213938624102</v>
      </c>
      <c r="C5" s="1">
        <v>6.4722728337579E-2</v>
      </c>
      <c r="F5" t="s">
        <v>2</v>
      </c>
      <c r="G5">
        <f>_xlfn.STDEV.S(B2:B29)</f>
        <v>1.5221335632802273E-2</v>
      </c>
      <c r="H5">
        <f>_xlfn.STDEV.S(C2:C29)</f>
        <v>3.3855545798518768E-4</v>
      </c>
      <c r="J5" s="1"/>
    </row>
    <row r="6" spans="1:11" ht="42.75">
      <c r="A6" s="1" t="s">
        <v>20</v>
      </c>
      <c r="B6" s="1">
        <v>4.0505545969773804</v>
      </c>
      <c r="C6" s="1">
        <v>6.5198191332667299E-2</v>
      </c>
      <c r="F6" t="s">
        <v>3</v>
      </c>
      <c r="G6">
        <f>G5/G4/SQRT(COUNT(B2:B29))</f>
        <v>7.1255338138029973E-4</v>
      </c>
      <c r="H6">
        <f>H5/H4/SQRT(COUNT(C2:C29))</f>
        <v>9.8684121375140874E-4</v>
      </c>
      <c r="J6" s="1"/>
    </row>
    <row r="7" spans="1:11" ht="42.75">
      <c r="A7" s="1" t="s">
        <v>21</v>
      </c>
      <c r="B7" s="1">
        <v>4.0517862191438496</v>
      </c>
      <c r="C7" s="1">
        <v>6.5118995543562194E-2</v>
      </c>
      <c r="J7" s="1"/>
    </row>
    <row r="8" spans="1:11" ht="42.75">
      <c r="A8" s="1" t="s">
        <v>22</v>
      </c>
      <c r="B8" s="1">
        <v>4.0424645012040497</v>
      </c>
      <c r="C8" s="1">
        <v>6.4744655225756606E-2</v>
      </c>
      <c r="J8" s="1"/>
    </row>
    <row r="9" spans="1:11" ht="42.75">
      <c r="A9" s="1" t="s">
        <v>23</v>
      </c>
      <c r="B9" s="1">
        <v>4.0243487276243002</v>
      </c>
      <c r="C9" s="1">
        <v>6.5055203385797997E-2</v>
      </c>
      <c r="J9" s="1"/>
    </row>
    <row r="10" spans="1:11" ht="42.75">
      <c r="A10" s="1" t="s">
        <v>24</v>
      </c>
      <c r="B10" s="1">
        <v>4.0367409025359304</v>
      </c>
      <c r="C10" s="1">
        <v>6.4948449195513402E-2</v>
      </c>
      <c r="J10" s="1"/>
    </row>
    <row r="11" spans="1:11" ht="42.75">
      <c r="A11" s="1" t="s">
        <v>25</v>
      </c>
      <c r="B11" s="1">
        <v>4.0491156124478902</v>
      </c>
      <c r="C11" s="1">
        <v>6.4945497227791402E-2</v>
      </c>
      <c r="J11" s="1"/>
    </row>
    <row r="12" spans="1:11" ht="42.75">
      <c r="A12" s="1" t="s">
        <v>26</v>
      </c>
      <c r="B12" s="1">
        <v>4.0406778045491096</v>
      </c>
      <c r="C12" s="1">
        <v>6.4863395330163096E-2</v>
      </c>
      <c r="J12" s="1"/>
    </row>
    <row r="13" spans="1:11" ht="42.75">
      <c r="A13" s="1" t="s">
        <v>27</v>
      </c>
      <c r="B13" s="1">
        <v>4.0437611760653196</v>
      </c>
      <c r="C13" s="1">
        <v>6.4713449109524701E-2</v>
      </c>
      <c r="J13" s="1"/>
    </row>
    <row r="14" spans="1:11" ht="42.75">
      <c r="A14" s="1" t="s">
        <v>11</v>
      </c>
      <c r="B14" s="1">
        <v>4.0356877834891698</v>
      </c>
      <c r="C14" s="1">
        <v>6.4896125092345797E-2</v>
      </c>
      <c r="J14" s="1"/>
    </row>
    <row r="15" spans="1:11" ht="42.75">
      <c r="A15" s="1" t="s">
        <v>12</v>
      </c>
      <c r="B15" s="1">
        <v>4.0543291932026699</v>
      </c>
      <c r="C15" s="1">
        <v>6.5241502827778394E-2</v>
      </c>
      <c r="J15" s="1"/>
    </row>
    <row r="16" spans="1:11" ht="42.75">
      <c r="A16" s="1" t="s">
        <v>13</v>
      </c>
      <c r="B16" s="1">
        <v>4.0440448461837999</v>
      </c>
      <c r="C16" s="1">
        <v>6.4980468998503793E-2</v>
      </c>
      <c r="J16" s="1"/>
    </row>
    <row r="17" spans="1:16" ht="42.75">
      <c r="A17" s="1" t="s">
        <v>14</v>
      </c>
      <c r="B17" s="1">
        <v>4.0482658159189198</v>
      </c>
      <c r="C17" s="1">
        <v>6.5514217770456601E-2</v>
      </c>
      <c r="J17" s="1"/>
    </row>
    <row r="18" spans="1:16" ht="42.75">
      <c r="A18" s="1" t="s">
        <v>15</v>
      </c>
      <c r="B18" s="1">
        <v>4.0372658698111801</v>
      </c>
      <c r="C18" s="1">
        <v>6.3922916299629498E-2</v>
      </c>
      <c r="J18" s="1"/>
    </row>
    <row r="19" spans="1:16" ht="42.75">
      <c r="A19" s="1" t="s">
        <v>28</v>
      </c>
      <c r="B19" s="1">
        <v>4.0430873829414802</v>
      </c>
      <c r="C19" s="1">
        <v>6.4825237757855897E-2</v>
      </c>
      <c r="J19" s="1"/>
    </row>
    <row r="20" spans="1:16" ht="42.75">
      <c r="A20" s="1" t="s">
        <v>29</v>
      </c>
      <c r="B20" s="1">
        <v>4.0311378792119203</v>
      </c>
      <c r="C20" s="1">
        <v>6.4470305505123601E-2</v>
      </c>
      <c r="J20" s="1"/>
    </row>
    <row r="21" spans="1:16" ht="42.75">
      <c r="A21" s="1" t="s">
        <v>30</v>
      </c>
      <c r="B21" s="1">
        <v>4.01331392262989</v>
      </c>
      <c r="C21" s="1">
        <v>6.5433699222487096E-2</v>
      </c>
      <c r="J21" s="1"/>
    </row>
    <row r="22" spans="1:16" ht="42.75">
      <c r="A22" s="1" t="s">
        <v>31</v>
      </c>
      <c r="B22" s="1">
        <v>4.0578910745577002</v>
      </c>
      <c r="C22" s="1">
        <v>6.4237906062167796E-2</v>
      </c>
      <c r="J22" s="1"/>
    </row>
    <row r="23" spans="1:16" ht="42.75">
      <c r="A23" s="1" t="s">
        <v>32</v>
      </c>
      <c r="B23" s="1">
        <v>4.02794326730218</v>
      </c>
      <c r="C23" s="1">
        <v>6.51602437216873E-2</v>
      </c>
      <c r="J23" s="1"/>
    </row>
    <row r="24" spans="1:16" ht="42.75">
      <c r="A24" s="1" t="s">
        <v>33</v>
      </c>
      <c r="B24" s="1">
        <v>4.0616651770599299</v>
      </c>
      <c r="C24" s="1">
        <v>6.4591400893665399E-2</v>
      </c>
      <c r="J24" s="1"/>
    </row>
    <row r="25" spans="1:16" ht="42.75">
      <c r="A25" s="1" t="s">
        <v>34</v>
      </c>
      <c r="B25" s="1">
        <v>4.02065487780051</v>
      </c>
      <c r="C25" s="1">
        <v>6.4621020370609905E-2</v>
      </c>
      <c r="J25" s="1"/>
    </row>
    <row r="26" spans="1:16" ht="42.75">
      <c r="A26" s="1" t="s">
        <v>35</v>
      </c>
      <c r="B26" s="1">
        <v>4.0194143809069702</v>
      </c>
      <c r="C26" s="1">
        <v>6.4713175919996493E-2</v>
      </c>
      <c r="J26" s="1"/>
    </row>
    <row r="27" spans="1:16" ht="42.75">
      <c r="A27" s="1" t="s">
        <v>36</v>
      </c>
      <c r="B27" s="1">
        <v>4.0195181922825496</v>
      </c>
      <c r="C27" s="1">
        <v>6.4608197537483703E-2</v>
      </c>
      <c r="J27" s="1"/>
    </row>
    <row r="28" spans="1:16" ht="42.75">
      <c r="A28" s="1" t="s">
        <v>37</v>
      </c>
      <c r="B28" s="1">
        <v>4.0060394450385299</v>
      </c>
      <c r="C28" s="1">
        <v>6.4507451500493501E-2</v>
      </c>
      <c r="J28" s="1"/>
    </row>
    <row r="29" spans="1:16" ht="42.75">
      <c r="A29" s="1" t="s">
        <v>38</v>
      </c>
      <c r="B29" s="1">
        <v>4.03113906858741</v>
      </c>
      <c r="C29" s="1">
        <v>6.4884214968972106E-2</v>
      </c>
      <c r="J29" s="1"/>
    </row>
    <row r="30" spans="1:16">
      <c r="A30" s="1"/>
      <c r="B30" s="1"/>
      <c r="C30" s="1"/>
      <c r="J30" s="1"/>
      <c r="K30" s="1"/>
      <c r="N30" s="1"/>
      <c r="O30" s="1"/>
      <c r="P30" s="1"/>
    </row>
    <row r="31" spans="1:16">
      <c r="A31" s="1"/>
      <c r="B31" s="1"/>
      <c r="C31" s="1"/>
      <c r="J31" s="1"/>
      <c r="K31" s="1"/>
      <c r="N31" s="1"/>
      <c r="O31" s="1"/>
      <c r="P31" s="1"/>
    </row>
    <row r="32" spans="1:16">
      <c r="A32" s="1"/>
      <c r="B32" s="1"/>
      <c r="C32" s="1"/>
      <c r="J32" s="1"/>
      <c r="K32" s="1"/>
      <c r="N32" s="1"/>
      <c r="O32" s="1"/>
      <c r="P32" s="1"/>
    </row>
    <row r="33" spans="1:16">
      <c r="A33" s="1"/>
      <c r="B33" s="1"/>
      <c r="C33" s="1"/>
      <c r="J33" s="1"/>
      <c r="K33" s="1"/>
      <c r="N33" s="1"/>
      <c r="O33" s="1"/>
      <c r="P33" s="1"/>
    </row>
    <row r="34" spans="1:16">
      <c r="A34" s="1"/>
      <c r="B34" s="1"/>
      <c r="C34" s="1"/>
      <c r="J34" s="1"/>
      <c r="K34" s="1"/>
      <c r="N34" s="1"/>
      <c r="O34" s="1"/>
      <c r="P34" s="1"/>
    </row>
    <row r="35" spans="1:16">
      <c r="A35" s="1"/>
      <c r="B35" s="1"/>
      <c r="C35" s="1"/>
      <c r="J35" s="1"/>
      <c r="K35" s="1"/>
      <c r="N35" s="1"/>
      <c r="O35" s="1"/>
      <c r="P35" s="1"/>
    </row>
    <row r="36" spans="1:16">
      <c r="A36" s="1"/>
      <c r="B36" s="1"/>
      <c r="C36" s="1"/>
      <c r="J36" s="1"/>
      <c r="K36" s="1"/>
      <c r="N36" s="1"/>
      <c r="O36" s="1"/>
      <c r="P36" s="1"/>
    </row>
    <row r="37" spans="1:16">
      <c r="C37" s="1"/>
      <c r="J37" s="1"/>
      <c r="K3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894</vt:lpstr>
      <vt:lpstr>456</vt:lpstr>
      <vt:lpstr>AbsCoef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Garcia</dc:creator>
  <cp:lastModifiedBy>Diego Esteban Garcia</cp:lastModifiedBy>
  <dcterms:created xsi:type="dcterms:W3CDTF">2026-06-24T14:26:48Z</dcterms:created>
  <dcterms:modified xsi:type="dcterms:W3CDTF">2026-07-16T20:19:22Z</dcterms:modified>
</cp:coreProperties>
</file>