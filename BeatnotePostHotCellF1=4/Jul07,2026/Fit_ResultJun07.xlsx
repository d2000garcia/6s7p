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HotCellF1=4\Jul07,2026\"/>
    </mc:Choice>
  </mc:AlternateContent>
  <xr:revisionPtr revIDLastSave="0" documentId="13_ncr:1_{60372DB6-D509-48DC-AD73-3AFFAE573B4F}" xr6:coauthVersionLast="47" xr6:coauthVersionMax="47" xr10:uidLastSave="{00000000-0000-0000-0000-000000000000}"/>
  <bookViews>
    <workbookView xWindow="28680" yWindow="-120" windowWidth="29040" windowHeight="15720" activeTab="2" xr2:uid="{D9E101C5-8284-4B59-8B1C-2AD2D5F2FDD3}"/>
  </bookViews>
  <sheets>
    <sheet name="894" sheetId="2" r:id="rId1"/>
    <sheet name="456" sheetId="1" r:id="rId2"/>
    <sheet name="AbsCoe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" i="3" l="1"/>
  <c r="I6" i="3" s="1"/>
  <c r="I5" i="3"/>
  <c r="H4" i="3"/>
  <c r="H5" i="3"/>
  <c r="H6" i="3" l="1"/>
</calcChain>
</file>

<file path=xl/sharedStrings.xml><?xml version="1.0" encoding="utf-8"?>
<sst xmlns="http://schemas.openxmlformats.org/spreadsheetml/2006/main" count="143" uniqueCount="46">
  <si>
    <t>Date</t>
  </si>
  <si>
    <t>Mean</t>
  </si>
  <si>
    <t>STD</t>
  </si>
  <si>
    <t>Mean/std/sqrt(n)</t>
  </si>
  <si>
    <t>Alpha</t>
  </si>
  <si>
    <t>P0</t>
  </si>
  <si>
    <t>h1</t>
  </si>
  <si>
    <t>mv</t>
  </si>
  <si>
    <t>T</t>
  </si>
  <si>
    <t>gamma</t>
  </si>
  <si>
    <t>offset</t>
  </si>
  <si>
    <t>Jul07,2026+1-05-01PM</t>
  </si>
  <si>
    <t>Jul07,2026+1-16-18PM</t>
  </si>
  <si>
    <t>Jul07,2026+1-24-14PM</t>
  </si>
  <si>
    <t>Jul07,2026+1-32-36PM</t>
  </si>
  <si>
    <t>Jul07,2026+1-40-36PM</t>
  </si>
  <si>
    <t>Jul07,2026+1-48-48PM</t>
  </si>
  <si>
    <t>Jul07,2026+1-59-58PM</t>
  </si>
  <si>
    <t>Jul07,2026+10-10-52AM</t>
  </si>
  <si>
    <t>Jul07,2026+10-18-49AM</t>
  </si>
  <si>
    <t>Jul07,2026+10-27-13AM</t>
  </si>
  <si>
    <t>Jul07,2026+10-35-16AM</t>
  </si>
  <si>
    <t>Jul07,2026+10-44-43AM</t>
  </si>
  <si>
    <t>Jul07,2026+10-52-54AM</t>
  </si>
  <si>
    <t>Jul07,2026+11-00-55AM</t>
  </si>
  <si>
    <t>Jul07,2026+11-08-53AM</t>
  </si>
  <si>
    <t>Jul07,2026+11-17-07AM</t>
  </si>
  <si>
    <t>Jul07,2026+11-24-59AM</t>
  </si>
  <si>
    <t>Jul07,2026+11-34-58AM</t>
  </si>
  <si>
    <t>Jul07,2026+11-43-05AM</t>
  </si>
  <si>
    <t>Jul07,2026+11-51-00AM</t>
  </si>
  <si>
    <t>Jul07,2026+11-58-59AM</t>
  </si>
  <si>
    <t>Jul07,2026+12-16-28PM</t>
  </si>
  <si>
    <t>Jul07,2026+12-24-25PM</t>
  </si>
  <si>
    <t>Jul07,2026+12-33-26PM</t>
  </si>
  <si>
    <t>Jul07,2026+12-41-21PM</t>
  </si>
  <si>
    <t>Jul07,2026+12-49-13PM</t>
  </si>
  <si>
    <t>Jul07,2026+12-57-07PM</t>
  </si>
  <si>
    <t>Jul07,2026+2-13-04PM</t>
  </si>
  <si>
    <t>Jul07,2026+2-21-04PM</t>
  </si>
  <si>
    <t>Jul07,2026+2-33-43PM</t>
  </si>
  <si>
    <t>Jul07,2026+2-41-36PM</t>
  </si>
  <si>
    <t>Jul07,2026+2-49-51PM</t>
  </si>
  <si>
    <t>Jul07,2026+2-57-47PM</t>
  </si>
  <si>
    <t>Jul07,2026+3-19-32PM</t>
  </si>
  <si>
    <t>Jul07,2026+3-59-15PM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</si>
</sst>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5617D-2BBC-4C21-ADC4-3687FEC8C6E3}">
  <dimension ref="A1:V36"/>
  <sheetViews>
    <sheetView workbookViewId="0">
      <selection sqref="A1:B1048576"/>
    </sheetView>
  </sheetViews>
  <sheetFormatPr defaultRowHeight="14.25"/>
  <sheetData>
    <row r="1" spans="1:22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K1" s="1"/>
      <c r="L1" s="1"/>
      <c r="M1" s="1"/>
      <c r="N1" s="1" t="s">
        <v>0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</row>
    <row r="2" spans="1:22" ht="42.75">
      <c r="A2" s="1" t="s">
        <v>11</v>
      </c>
      <c r="B2" s="1">
        <v>13.697864550150999</v>
      </c>
      <c r="C2" s="1">
        <v>1.35909144560279</v>
      </c>
      <c r="D2" s="1">
        <v>-4.0246503790976199E-3</v>
      </c>
      <c r="E2" s="1">
        <v>2.2921975978609299</v>
      </c>
      <c r="F2" s="1">
        <v>39.844756048803703</v>
      </c>
      <c r="G2" s="1">
        <v>2.2873010483577898E-3</v>
      </c>
      <c r="H2" s="1"/>
      <c r="L2" s="1"/>
      <c r="M2" s="1"/>
      <c r="U2" s="1"/>
    </row>
    <row r="3" spans="1:22" ht="42.75">
      <c r="A3" s="1" t="s">
        <v>12</v>
      </c>
      <c r="B3" s="1">
        <v>13.521765815989101</v>
      </c>
      <c r="C3" s="1">
        <v>1.35905359748281</v>
      </c>
      <c r="D3" s="1">
        <v>-3.9245827780365799E-3</v>
      </c>
      <c r="E3" s="1">
        <v>2.29223104249626</v>
      </c>
      <c r="F3" s="1">
        <v>41.858198680339903</v>
      </c>
      <c r="G3" s="1">
        <v>2.2882473491695602E-3</v>
      </c>
      <c r="H3" s="1"/>
      <c r="U3" s="1"/>
      <c r="V3" s="1"/>
    </row>
    <row r="4" spans="1:22" ht="42.75">
      <c r="A4" s="1" t="s">
        <v>13</v>
      </c>
      <c r="B4" s="1">
        <v>13.5769688965988</v>
      </c>
      <c r="C4" s="1">
        <v>1.36303833975907</v>
      </c>
      <c r="D4" s="1">
        <v>-3.6932366522972201E-3</v>
      </c>
      <c r="E4" s="1">
        <v>2.2923774437315001</v>
      </c>
      <c r="F4" s="1">
        <v>40.833450209311302</v>
      </c>
      <c r="G4" s="1">
        <v>2.3396684941337899E-3</v>
      </c>
      <c r="H4" s="1"/>
      <c r="U4" s="1"/>
    </row>
    <row r="5" spans="1:22" ht="42.75">
      <c r="A5" s="1" t="s">
        <v>14</v>
      </c>
      <c r="B5" s="1">
        <v>13.480301532390399</v>
      </c>
      <c r="C5" s="1">
        <v>1.3665285184625899</v>
      </c>
      <c r="D5" s="1">
        <v>-4.16300673228308E-3</v>
      </c>
      <c r="E5" s="1">
        <v>2.2932094273293702</v>
      </c>
      <c r="F5" s="1">
        <v>41.819763184000202</v>
      </c>
      <c r="G5" s="1">
        <v>2.76753305005809E-3</v>
      </c>
      <c r="H5" s="1"/>
      <c r="U5" s="1"/>
    </row>
    <row r="6" spans="1:22" ht="42.75">
      <c r="A6" s="1" t="s">
        <v>15</v>
      </c>
      <c r="B6" s="1">
        <v>13.457843174234499</v>
      </c>
      <c r="C6" s="1">
        <v>1.36546677999052</v>
      </c>
      <c r="D6" s="1">
        <v>-3.5674431757170499E-3</v>
      </c>
      <c r="E6" s="1">
        <v>2.2933446841078302</v>
      </c>
      <c r="F6" s="1">
        <v>41.886998449810001</v>
      </c>
      <c r="G6" s="1">
        <v>2.9489346039671001E-3</v>
      </c>
      <c r="H6" s="1"/>
      <c r="U6" s="1"/>
    </row>
    <row r="7" spans="1:22" ht="42.75">
      <c r="A7" s="1" t="s">
        <v>16</v>
      </c>
      <c r="B7" s="1">
        <v>13.4601858284096</v>
      </c>
      <c r="C7" s="1">
        <v>1.3603705921006399</v>
      </c>
      <c r="D7" s="1">
        <v>-4.1899681838054202E-3</v>
      </c>
      <c r="E7" s="1">
        <v>2.29402014465379</v>
      </c>
      <c r="F7" s="1">
        <v>41.862091669988096</v>
      </c>
      <c r="G7" s="1">
        <v>2.9080777392418099E-3</v>
      </c>
      <c r="H7" s="1"/>
      <c r="U7" s="1"/>
    </row>
    <row r="8" spans="1:22" ht="42.75">
      <c r="A8" s="1" t="s">
        <v>17</v>
      </c>
      <c r="B8" s="1">
        <v>13.441398970797801</v>
      </c>
      <c r="C8" s="1">
        <v>1.35772183514859</v>
      </c>
      <c r="D8" s="1">
        <v>-3.7874334682519201E-3</v>
      </c>
      <c r="E8" s="1">
        <v>2.2948202582373698</v>
      </c>
      <c r="F8" s="1">
        <v>41.8669958197395</v>
      </c>
      <c r="G8" s="1">
        <v>3.0852541461932801E-3</v>
      </c>
      <c r="H8" s="1"/>
      <c r="U8" s="1"/>
    </row>
    <row r="9" spans="1:22" ht="42.75">
      <c r="A9" s="1" t="s">
        <v>18</v>
      </c>
      <c r="B9" s="1">
        <v>13.5587346114607</v>
      </c>
      <c r="C9" s="1">
        <v>1.36457643857982</v>
      </c>
      <c r="D9" s="1">
        <v>-4.33915873616524E-3</v>
      </c>
      <c r="E9" s="1">
        <v>2.29816933425304</v>
      </c>
      <c r="F9" s="1">
        <v>39.684630020004001</v>
      </c>
      <c r="G9" s="1">
        <v>2.28730049574264E-3</v>
      </c>
      <c r="H9" s="1"/>
      <c r="U9" s="1"/>
    </row>
    <row r="10" spans="1:22" ht="42.75">
      <c r="A10" s="1" t="s">
        <v>19</v>
      </c>
      <c r="B10" s="1">
        <v>13.6287894663453</v>
      </c>
      <c r="C10" s="1">
        <v>1.36012688583054</v>
      </c>
      <c r="D10" s="1">
        <v>-3.9680073444072197E-3</v>
      </c>
      <c r="E10" s="1">
        <v>2.29609760516766</v>
      </c>
      <c r="F10" s="1">
        <v>39.675252900002398</v>
      </c>
      <c r="G10" s="1">
        <v>2.2873004957129901E-3</v>
      </c>
      <c r="H10" s="1"/>
      <c r="U10" s="1"/>
    </row>
    <row r="11" spans="1:22" ht="42.75">
      <c r="A11" s="1" t="s">
        <v>20</v>
      </c>
      <c r="B11" s="1">
        <v>13.564281814943399</v>
      </c>
      <c r="C11" s="1">
        <v>1.3635447230001601</v>
      </c>
      <c r="D11" s="1">
        <v>-4.0022847346509304E-3</v>
      </c>
      <c r="E11" s="1">
        <v>2.2928350434819</v>
      </c>
      <c r="F11" s="1">
        <v>39.711344480118001</v>
      </c>
      <c r="G11" s="1">
        <v>2.2873004957014798E-3</v>
      </c>
      <c r="H11" s="1"/>
      <c r="U11" s="1"/>
    </row>
    <row r="12" spans="1:22" ht="42.75">
      <c r="A12" s="1" t="s">
        <v>21</v>
      </c>
      <c r="B12" s="1">
        <v>13.588373998833699</v>
      </c>
      <c r="C12" s="1">
        <v>1.36341556753217</v>
      </c>
      <c r="D12" s="1">
        <v>-4.1480397138559796E-3</v>
      </c>
      <c r="E12" s="1">
        <v>2.29329910989747</v>
      </c>
      <c r="F12" s="1">
        <v>40.640241049936897</v>
      </c>
      <c r="G12" s="1">
        <v>2.2874123129388601E-3</v>
      </c>
      <c r="H12" s="1"/>
      <c r="U12" s="1"/>
    </row>
    <row r="13" spans="1:22" ht="42.75">
      <c r="A13" s="1" t="s">
        <v>22</v>
      </c>
      <c r="B13" s="1">
        <v>13.4847013836913</v>
      </c>
      <c r="C13" s="1">
        <v>1.36071218269821</v>
      </c>
      <c r="D13" s="1">
        <v>-4.0643329708120396E-3</v>
      </c>
      <c r="E13" s="1">
        <v>2.2945987758907398</v>
      </c>
      <c r="F13" s="1">
        <v>41.739544102163499</v>
      </c>
      <c r="G13" s="1">
        <v>3.2201777356502298E-3</v>
      </c>
      <c r="H13" s="1"/>
      <c r="R13" s="1"/>
    </row>
    <row r="14" spans="1:22" ht="42.75">
      <c r="A14" s="1" t="s">
        <v>23</v>
      </c>
      <c r="B14" s="1">
        <v>13.493443306898801</v>
      </c>
      <c r="C14" s="1">
        <v>1.36221393795137</v>
      </c>
      <c r="D14" s="1">
        <v>-4.1980225372306498E-3</v>
      </c>
      <c r="E14" s="1">
        <v>2.2963899563724799</v>
      </c>
      <c r="F14" s="1">
        <v>41.717602639957697</v>
      </c>
      <c r="G14" s="1">
        <v>3.0469512135373302E-3</v>
      </c>
      <c r="H14" s="1"/>
      <c r="R14" s="1"/>
    </row>
    <row r="15" spans="1:22" ht="42.75">
      <c r="A15" s="1" t="s">
        <v>24</v>
      </c>
      <c r="B15" s="1">
        <v>13.693036667407799</v>
      </c>
      <c r="C15" s="1">
        <v>1.3620950697726899</v>
      </c>
      <c r="D15" s="1">
        <v>-3.18575829136165E-3</v>
      </c>
      <c r="E15" s="1">
        <v>2.2978043835153898</v>
      </c>
      <c r="F15" s="1">
        <v>39.8902601986197</v>
      </c>
      <c r="G15" s="1">
        <v>2.7144509556340799E-3</v>
      </c>
      <c r="H15" s="1"/>
      <c r="R15" s="1"/>
    </row>
    <row r="16" spans="1:22" ht="42.75">
      <c r="A16" s="1" t="s">
        <v>25</v>
      </c>
      <c r="B16" s="1">
        <v>13.6672309767879</v>
      </c>
      <c r="C16" s="1">
        <v>1.3639406394320599</v>
      </c>
      <c r="D16" s="1">
        <v>-3.69372919248786E-3</v>
      </c>
      <c r="E16" s="1">
        <v>2.2975384047145599</v>
      </c>
      <c r="F16" s="1">
        <v>39.744929191977299</v>
      </c>
      <c r="G16" s="1">
        <v>2.2873005910339301E-3</v>
      </c>
      <c r="H16" s="1"/>
      <c r="R16" s="1"/>
    </row>
    <row r="17" spans="1:8" ht="42.75">
      <c r="A17" s="1" t="s">
        <v>26</v>
      </c>
      <c r="B17" s="1">
        <v>13.6270332177755</v>
      </c>
      <c r="C17" s="1">
        <v>1.3633226442437401</v>
      </c>
      <c r="D17" s="1">
        <v>-4.3364790714168896E-3</v>
      </c>
      <c r="E17" s="1">
        <v>2.2966916254957801</v>
      </c>
      <c r="F17" s="1">
        <v>39.759492360006398</v>
      </c>
      <c r="G17" s="1">
        <v>2.2873004957014299E-3</v>
      </c>
      <c r="H17" s="1"/>
    </row>
    <row r="18" spans="1:8" ht="42.75">
      <c r="A18" s="1" t="s">
        <v>27</v>
      </c>
      <c r="B18" s="1">
        <v>13.5711113836892</v>
      </c>
      <c r="C18" s="1">
        <v>1.3648928563129099</v>
      </c>
      <c r="D18" s="1">
        <v>-4.2751228334932598E-3</v>
      </c>
      <c r="E18" s="1">
        <v>2.2937354323777401</v>
      </c>
      <c r="F18" s="1">
        <v>39.755065670003503</v>
      </c>
      <c r="G18" s="1">
        <v>2.28730049570158E-3</v>
      </c>
      <c r="H18" s="1"/>
    </row>
    <row r="19" spans="1:8" ht="42.75">
      <c r="A19" s="1" t="s">
        <v>28</v>
      </c>
      <c r="B19" s="1">
        <v>13.600332344222</v>
      </c>
      <c r="C19" s="1">
        <v>1.3519267811396001</v>
      </c>
      <c r="D19" s="1">
        <v>-2.45728982032357E-3</v>
      </c>
      <c r="E19" s="1">
        <v>1.2929014978784099</v>
      </c>
      <c r="F19" s="1">
        <v>39.755125460076897</v>
      </c>
      <c r="G19" s="1">
        <v>2.2873004957092999E-3</v>
      </c>
      <c r="H19" s="1"/>
    </row>
    <row r="20" spans="1:8" ht="42.75">
      <c r="A20" s="1" t="s">
        <v>29</v>
      </c>
      <c r="B20" s="1">
        <v>13.5009743955892</v>
      </c>
      <c r="C20" s="1">
        <v>1.36054297114796</v>
      </c>
      <c r="D20" s="1">
        <v>-3.9053690167153601E-3</v>
      </c>
      <c r="E20" s="1">
        <v>2.29265807242572</v>
      </c>
      <c r="F20" s="1">
        <v>39.748141290601303</v>
      </c>
      <c r="G20" s="1">
        <v>2.2873004985389201E-3</v>
      </c>
      <c r="H20" s="1"/>
    </row>
    <row r="21" spans="1:8" ht="42.75">
      <c r="A21" s="1" t="s">
        <v>30</v>
      </c>
      <c r="B21" s="1">
        <v>13.597133836560999</v>
      </c>
      <c r="C21" s="1">
        <v>1.3543632291761301</v>
      </c>
      <c r="D21" s="1">
        <v>-2.8180500695741701E-3</v>
      </c>
      <c r="E21" s="1">
        <v>2.2923801820515801</v>
      </c>
      <c r="F21" s="1">
        <v>40.804902802678498</v>
      </c>
      <c r="G21" s="1">
        <v>2.77556049577341E-3</v>
      </c>
      <c r="H21" s="1"/>
    </row>
    <row r="22" spans="1:8" ht="42.75">
      <c r="A22" s="1" t="s">
        <v>31</v>
      </c>
      <c r="B22" s="1">
        <v>13.345801926629401</v>
      </c>
      <c r="C22" s="1">
        <v>1.3565434209129299</v>
      </c>
      <c r="D22" s="1">
        <v>-3.92123515869304E-3</v>
      </c>
      <c r="E22" s="1">
        <v>2.2924629495559499</v>
      </c>
      <c r="F22" s="1">
        <v>41.7687149962725</v>
      </c>
      <c r="G22" s="1">
        <v>2.28730071944243E-3</v>
      </c>
      <c r="H22" s="1"/>
    </row>
    <row r="23" spans="1:8" ht="42.75">
      <c r="A23" s="1" t="s">
        <v>32</v>
      </c>
      <c r="B23" s="1">
        <v>13.5152469728806</v>
      </c>
      <c r="C23" s="1">
        <v>1.3621427652604301</v>
      </c>
      <c r="D23" s="1">
        <v>-4.1807578230909298E-3</v>
      </c>
      <c r="E23" s="1">
        <v>2.2968268785047501</v>
      </c>
      <c r="F23" s="1">
        <v>41.7954301244908</v>
      </c>
      <c r="G23" s="1">
        <v>2.7137051092032999E-3</v>
      </c>
      <c r="H23" s="1"/>
    </row>
    <row r="24" spans="1:8" ht="42.75">
      <c r="A24" s="1" t="s">
        <v>33</v>
      </c>
      <c r="B24" s="1">
        <v>13.5963637628518</v>
      </c>
      <c r="C24" s="1">
        <v>1.36111727416265</v>
      </c>
      <c r="D24" s="1">
        <v>-3.9240886504202897E-3</v>
      </c>
      <c r="E24" s="1">
        <v>2.29759725706145</v>
      </c>
      <c r="F24" s="1">
        <v>41.7918440798788</v>
      </c>
      <c r="G24" s="1">
        <v>2.4994777936016301E-3</v>
      </c>
      <c r="H24" s="1"/>
    </row>
    <row r="25" spans="1:8" ht="42.75">
      <c r="A25" s="1" t="s">
        <v>34</v>
      </c>
      <c r="B25" s="1">
        <v>13.6061621269385</v>
      </c>
      <c r="C25" s="1">
        <v>1.36038763937264</v>
      </c>
      <c r="D25" s="1">
        <v>-4.6612763284471998E-3</v>
      </c>
      <c r="E25" s="1">
        <v>2.29788570835656</v>
      </c>
      <c r="F25" s="1">
        <v>39.832939011392902</v>
      </c>
      <c r="G25" s="1">
        <v>2.28730049619566E-3</v>
      </c>
      <c r="H25" s="1"/>
    </row>
    <row r="26" spans="1:8" ht="42.75">
      <c r="A26" s="1" t="s">
        <v>35</v>
      </c>
      <c r="B26" s="1">
        <v>13.564508484015001</v>
      </c>
      <c r="C26" s="1">
        <v>1.36118866879901</v>
      </c>
      <c r="D26" s="1">
        <v>-4.83778772828983E-3</v>
      </c>
      <c r="E26" s="1">
        <v>2.2965313865013801</v>
      </c>
      <c r="F26" s="1">
        <v>39.798929590002899</v>
      </c>
      <c r="G26" s="1">
        <v>2.2873004957023502E-3</v>
      </c>
      <c r="H26" s="1"/>
    </row>
    <row r="27" spans="1:8" ht="42.75">
      <c r="A27" s="1" t="s">
        <v>36</v>
      </c>
      <c r="B27" s="1">
        <v>13.566012885219999</v>
      </c>
      <c r="C27" s="1">
        <v>1.35795241931647</v>
      </c>
      <c r="D27" s="1">
        <v>-4.1124735074113197E-3</v>
      </c>
      <c r="E27" s="1">
        <v>2.29540006992048</v>
      </c>
      <c r="F27" s="1">
        <v>39.830851450147897</v>
      </c>
      <c r="G27" s="1">
        <v>2.2873004957015301E-3</v>
      </c>
      <c r="H27" s="1"/>
    </row>
    <row r="28" spans="1:8" ht="42.75">
      <c r="A28" s="1" t="s">
        <v>37</v>
      </c>
      <c r="B28" s="1">
        <v>13.677050331463599</v>
      </c>
      <c r="C28" s="1">
        <v>1.36322433965963</v>
      </c>
      <c r="D28" s="1">
        <v>-4.7758842350319004E-3</v>
      </c>
      <c r="E28" s="1">
        <v>2.2930818324576001</v>
      </c>
      <c r="F28" s="1">
        <v>39.860320350029802</v>
      </c>
      <c r="G28" s="1">
        <v>2.2873004957050498E-3</v>
      </c>
      <c r="H28" s="1"/>
    </row>
    <row r="29" spans="1:8" ht="42.75">
      <c r="A29" s="1" t="s">
        <v>38</v>
      </c>
      <c r="B29" s="1">
        <v>13.4597843604533</v>
      </c>
      <c r="C29" s="1">
        <v>1.3604720111075199</v>
      </c>
      <c r="D29" s="1">
        <v>-4.15887553101671E-3</v>
      </c>
      <c r="E29" s="1">
        <v>2.2962704417943098</v>
      </c>
      <c r="F29" s="1">
        <v>41.899096529999802</v>
      </c>
      <c r="G29" s="1">
        <v>3.0208284797866498E-3</v>
      </c>
      <c r="H29" s="1"/>
    </row>
    <row r="30" spans="1:8" ht="42.75">
      <c r="A30" s="1" t="s">
        <v>39</v>
      </c>
      <c r="B30" s="1">
        <v>13.5606966844732</v>
      </c>
      <c r="C30" s="1">
        <v>1.36102911074817</v>
      </c>
      <c r="D30" s="1">
        <v>-3.8877163741129202E-3</v>
      </c>
      <c r="E30" s="1">
        <v>2.2963978602313402</v>
      </c>
      <c r="F30" s="1">
        <v>41.871484119818398</v>
      </c>
      <c r="G30" s="1">
        <v>2.9315206162126798E-3</v>
      </c>
      <c r="H30" s="1"/>
    </row>
    <row r="31" spans="1:8" ht="42.75">
      <c r="A31" s="1" t="s">
        <v>40</v>
      </c>
      <c r="B31" s="1">
        <v>13.566424750775999</v>
      </c>
      <c r="C31" s="1">
        <v>1.3615591839782299</v>
      </c>
      <c r="D31" s="1">
        <v>-4.5895011425411301E-3</v>
      </c>
      <c r="E31" s="1">
        <v>2.2989348063671202</v>
      </c>
      <c r="F31" s="1">
        <v>39.919578918595903</v>
      </c>
      <c r="G31" s="1">
        <v>2.2873005312131099E-3</v>
      </c>
      <c r="H31" s="1"/>
    </row>
    <row r="32" spans="1:8" ht="42.75">
      <c r="A32" s="1" t="s">
        <v>41</v>
      </c>
      <c r="B32" s="1">
        <v>13.677756444678201</v>
      </c>
      <c r="C32" s="1">
        <v>1.3602575404060699</v>
      </c>
      <c r="D32" s="1">
        <v>-3.6913524598049699E-3</v>
      </c>
      <c r="E32" s="1">
        <v>2.29762721047747</v>
      </c>
      <c r="F32" s="1">
        <v>39.916106550429703</v>
      </c>
      <c r="G32" s="1">
        <v>2.2873004957037501E-3</v>
      </c>
      <c r="H32" s="1"/>
    </row>
    <row r="33" spans="1:8" ht="42.75">
      <c r="A33" s="1" t="s">
        <v>42</v>
      </c>
      <c r="B33" s="1">
        <v>13.7089668474497</v>
      </c>
      <c r="C33" s="1">
        <v>1.3617324885751001</v>
      </c>
      <c r="D33" s="1">
        <v>-3.8004743600321498E-3</v>
      </c>
      <c r="E33" s="1">
        <v>2.29635889172574</v>
      </c>
      <c r="F33" s="1">
        <v>39.927953040014103</v>
      </c>
      <c r="G33" s="1">
        <v>2.2873004957025102E-3</v>
      </c>
      <c r="H33" s="1"/>
    </row>
    <row r="34" spans="1:8" ht="42.75">
      <c r="A34" s="1" t="s">
        <v>43</v>
      </c>
      <c r="B34" s="1">
        <v>13.5896342791272</v>
      </c>
      <c r="C34" s="1">
        <v>1.3598496597485299</v>
      </c>
      <c r="D34" s="1">
        <v>-3.4635217003083402E-3</v>
      </c>
      <c r="E34" s="1">
        <v>2.2953504374945601</v>
      </c>
      <c r="F34" s="1">
        <v>39.916323400047901</v>
      </c>
      <c r="G34" s="1">
        <v>2.2873004957019499E-3</v>
      </c>
      <c r="H34" s="1"/>
    </row>
    <row r="35" spans="1:8" ht="42.75">
      <c r="A35" s="1" t="s">
        <v>44</v>
      </c>
      <c r="B35" s="1">
        <v>13.672859971194899</v>
      </c>
      <c r="C35" s="1">
        <v>1.3622885095873201</v>
      </c>
      <c r="D35" s="1">
        <v>-3.60835677810951E-3</v>
      </c>
      <c r="E35" s="1">
        <v>2.2926628915138898</v>
      </c>
      <c r="F35" s="1">
        <v>39.936602100026697</v>
      </c>
      <c r="G35" s="1">
        <v>2.2873004957017998E-3</v>
      </c>
      <c r="H35" s="1"/>
    </row>
    <row r="36" spans="1:8" ht="42.75">
      <c r="A36" s="1" t="s">
        <v>45</v>
      </c>
      <c r="B36" s="1">
        <v>13.4234538610926</v>
      </c>
      <c r="C36" s="1">
        <v>1.3620620527195699</v>
      </c>
      <c r="D36" s="1">
        <v>-3.9236775250681101E-3</v>
      </c>
      <c r="E36" s="1">
        <v>2.0446272769204699</v>
      </c>
      <c r="F36" s="1">
        <v>41.962515899883599</v>
      </c>
      <c r="G36" s="1">
        <v>2.8901140875129999E-3</v>
      </c>
      <c r="H3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646E0-737D-49FA-A2CA-7848F848076B}">
  <dimension ref="A1:T37"/>
  <sheetViews>
    <sheetView zoomScale="99" zoomScaleNormal="99" workbookViewId="0">
      <selection sqref="A1:B1048576"/>
    </sheetView>
  </sheetViews>
  <sheetFormatPr defaultRowHeight="14.25"/>
  <sheetData>
    <row r="1" spans="1:20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/>
      <c r="L1" s="1"/>
      <c r="M1" s="1" t="s">
        <v>0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</row>
    <row r="2" spans="1:20" ht="42.75">
      <c r="A2" s="1" t="s">
        <v>11</v>
      </c>
      <c r="B2" s="1">
        <v>0.218777420016466</v>
      </c>
      <c r="C2" s="1">
        <v>1.64232666066753</v>
      </c>
      <c r="D2" s="1">
        <v>6.0691865461160203E-4</v>
      </c>
      <c r="E2" s="1">
        <v>-1.25160246402557E-4</v>
      </c>
      <c r="F2" s="1">
        <v>1.49912040445299</v>
      </c>
      <c r="G2" s="1">
        <v>39.864809735615502</v>
      </c>
      <c r="H2" s="1">
        <v>7.2885433970181802E-4</v>
      </c>
      <c r="L2" s="1"/>
    </row>
    <row r="3" spans="1:20" ht="42.75">
      <c r="A3" s="1" t="s">
        <v>12</v>
      </c>
      <c r="B3" s="1">
        <v>0.22017842865582701</v>
      </c>
      <c r="C3" s="1">
        <v>1.64170501403032</v>
      </c>
      <c r="D3" s="1">
        <v>9.5896623879204105E-4</v>
      </c>
      <c r="E3" s="1">
        <v>-1.6569091606545401E-4</v>
      </c>
      <c r="F3" s="1">
        <v>2.2555848159382998</v>
      </c>
      <c r="G3" s="1">
        <v>41.314289271467899</v>
      </c>
      <c r="H3" s="1">
        <v>6.3082538047710501E-4</v>
      </c>
      <c r="L3" s="1"/>
    </row>
    <row r="4" spans="1:20" ht="42.75">
      <c r="A4" s="1" t="s">
        <v>13</v>
      </c>
      <c r="B4" s="1">
        <v>0.21788210076678599</v>
      </c>
      <c r="C4" s="1">
        <v>1.64201843953602</v>
      </c>
      <c r="D4" s="1">
        <v>1.39790085458708E-3</v>
      </c>
      <c r="E4" s="1">
        <v>-3.1695930599390801E-4</v>
      </c>
      <c r="F4" s="1">
        <v>1.5037280786846501</v>
      </c>
      <c r="G4" s="1">
        <v>39.873927695677203</v>
      </c>
      <c r="H4" s="1">
        <v>5.8092451030120995E-4</v>
      </c>
    </row>
    <row r="5" spans="1:20" ht="42.75">
      <c r="A5" s="1" t="s">
        <v>14</v>
      </c>
      <c r="B5" s="1">
        <v>0.219800999056638</v>
      </c>
      <c r="C5" s="1">
        <v>1.6425500996147799</v>
      </c>
      <c r="D5" s="1">
        <v>9.4736353891190696E-4</v>
      </c>
      <c r="E5" s="1">
        <v>-1.88016238267399E-4</v>
      </c>
      <c r="F5" s="1">
        <v>2.0058124592520699</v>
      </c>
      <c r="G5" s="1">
        <v>39.941042025087903</v>
      </c>
      <c r="H5" s="1">
        <v>5.9597472800953903E-4</v>
      </c>
    </row>
    <row r="6" spans="1:20" ht="42.75">
      <c r="A6" s="1" t="s">
        <v>15</v>
      </c>
      <c r="B6" s="1">
        <v>0.218443725860095</v>
      </c>
      <c r="C6" s="1">
        <v>1.64215749625173</v>
      </c>
      <c r="D6" s="1">
        <v>1.20903774693338E-3</v>
      </c>
      <c r="E6" s="1">
        <v>-2.8737629108383401E-4</v>
      </c>
      <c r="F6" s="1">
        <v>1.5002882444110801</v>
      </c>
      <c r="G6" s="1">
        <v>39.891790703801099</v>
      </c>
      <c r="H6" s="1">
        <v>6.0490005310484801E-4</v>
      </c>
    </row>
    <row r="7" spans="1:20" ht="42.75">
      <c r="A7" s="1" t="s">
        <v>16</v>
      </c>
      <c r="B7" s="1">
        <v>0.21984807108405599</v>
      </c>
      <c r="C7" s="1">
        <v>1.6421298449525501</v>
      </c>
      <c r="D7" s="1">
        <v>1.4635288492498099E-4</v>
      </c>
      <c r="E7" s="2">
        <v>-3.00809083191273E-5</v>
      </c>
      <c r="F7" s="1">
        <v>1.5070493886587</v>
      </c>
      <c r="G7" s="1">
        <v>40.102899292041499</v>
      </c>
      <c r="H7" s="1">
        <v>5.8412734906453697E-4</v>
      </c>
    </row>
    <row r="8" spans="1:20" ht="42.75">
      <c r="A8" s="1" t="s">
        <v>17</v>
      </c>
      <c r="B8" s="1">
        <v>0.21905089922811899</v>
      </c>
      <c r="C8" s="1">
        <v>1.6416137835712601</v>
      </c>
      <c r="D8" s="1">
        <v>8.6217480102430001E-4</v>
      </c>
      <c r="E8" s="1">
        <v>-1.9641026657168299E-4</v>
      </c>
      <c r="F8" s="1">
        <v>1.5047308172748699</v>
      </c>
      <c r="G8" s="1">
        <v>39.867730400115597</v>
      </c>
      <c r="H8" s="1">
        <v>5.8898667907635505E-4</v>
      </c>
    </row>
    <row r="9" spans="1:20" ht="42.75">
      <c r="A9" s="1" t="s">
        <v>18</v>
      </c>
      <c r="B9" s="1">
        <v>0.22233607124480101</v>
      </c>
      <c r="C9" s="1">
        <v>1.6459875148815299</v>
      </c>
      <c r="D9" s="1">
        <v>5.3116426416855702E-4</v>
      </c>
      <c r="E9" s="1">
        <v>-1.27118496533927E-4</v>
      </c>
      <c r="F9" s="1">
        <v>2.25491142429623</v>
      </c>
      <c r="G9" s="1">
        <v>41.670207392160201</v>
      </c>
      <c r="H9" s="1">
        <v>9.3629157869056705E-4</v>
      </c>
    </row>
    <row r="10" spans="1:20" ht="42.75">
      <c r="A10" s="1" t="s">
        <v>19</v>
      </c>
      <c r="B10" s="1">
        <v>0.222916111013889</v>
      </c>
      <c r="C10" s="1">
        <v>1.6456801271331101</v>
      </c>
      <c r="D10" s="1">
        <v>9.1133908792874301E-4</v>
      </c>
      <c r="E10" s="1">
        <v>-2.4815399750971598E-4</v>
      </c>
      <c r="F10" s="1">
        <v>1.7543609683689501</v>
      </c>
      <c r="G10" s="1">
        <v>40.579567401006102</v>
      </c>
      <c r="H10" s="1">
        <v>1.07261271282538E-3</v>
      </c>
    </row>
    <row r="11" spans="1:20" ht="42.75">
      <c r="A11" s="1" t="s">
        <v>20</v>
      </c>
      <c r="B11" s="1">
        <v>0.21978080516705001</v>
      </c>
      <c r="C11" s="1">
        <v>1.64487988628674</v>
      </c>
      <c r="D11" s="1">
        <v>4.2043323533652398E-4</v>
      </c>
      <c r="E11" s="1">
        <v>-1.21744005120094E-4</v>
      </c>
      <c r="F11" s="1">
        <v>2.25574732906788</v>
      </c>
      <c r="G11" s="1">
        <v>39.714834060144597</v>
      </c>
      <c r="H11" s="1">
        <v>6.2198129845545899E-4</v>
      </c>
    </row>
    <row r="12" spans="1:20" ht="42.75">
      <c r="A12" s="1" t="s">
        <v>21</v>
      </c>
      <c r="B12" s="1">
        <v>0.21701744510815299</v>
      </c>
      <c r="C12" s="1">
        <v>1.64490484825905</v>
      </c>
      <c r="D12" s="2">
        <v>5.0826969193233099E-5</v>
      </c>
      <c r="E12" s="2">
        <v>5.6410642464488904E-6</v>
      </c>
      <c r="F12" s="1">
        <v>1.75590829385744</v>
      </c>
      <c r="G12" s="1">
        <v>40.2067409527954</v>
      </c>
      <c r="H12" s="1">
        <v>6.2508617941697798E-4</v>
      </c>
    </row>
    <row r="13" spans="1:20" ht="42.75">
      <c r="A13" s="1" t="s">
        <v>22</v>
      </c>
      <c r="B13" s="1">
        <v>0.22292724198768199</v>
      </c>
      <c r="C13" s="1">
        <v>1.6438566926188301</v>
      </c>
      <c r="D13" s="1">
        <v>5.9962446939902897E-4</v>
      </c>
      <c r="E13" s="2">
        <v>-9.9642360699905402E-5</v>
      </c>
      <c r="F13" s="1">
        <v>2.2535104916655602</v>
      </c>
      <c r="G13" s="1">
        <v>41.739957827006599</v>
      </c>
      <c r="H13" s="1">
        <v>1.0178894341218499E-3</v>
      </c>
    </row>
    <row r="14" spans="1:20" ht="42.75">
      <c r="A14" s="1" t="s">
        <v>23</v>
      </c>
      <c r="B14" s="1">
        <v>0.222109442813166</v>
      </c>
      <c r="C14" s="1">
        <v>1.6444909659775599</v>
      </c>
      <c r="D14" s="1">
        <v>1.0879371212070899E-3</v>
      </c>
      <c r="E14" s="1">
        <v>-2.2074475617490599E-4</v>
      </c>
      <c r="F14" s="1">
        <v>1.75349562473967</v>
      </c>
      <c r="G14" s="1">
        <v>41.7229500579625</v>
      </c>
      <c r="H14" s="1">
        <v>6.6099458970838903E-4</v>
      </c>
    </row>
    <row r="15" spans="1:20" ht="42.75">
      <c r="A15" s="1" t="s">
        <v>24</v>
      </c>
      <c r="B15" s="1">
        <v>0.221905259897859</v>
      </c>
      <c r="C15" s="1">
        <v>1.6453696070433801</v>
      </c>
      <c r="D15" s="1">
        <v>3.0110159884765101E-4</v>
      </c>
      <c r="E15" s="2">
        <v>-9.8942852046924405E-5</v>
      </c>
      <c r="F15" s="1">
        <v>1.7522993107722</v>
      </c>
      <c r="G15" s="1">
        <v>41.737858210421201</v>
      </c>
      <c r="H15" s="1">
        <v>1.10179055228985E-3</v>
      </c>
    </row>
    <row r="16" spans="1:20" ht="42.75">
      <c r="A16" s="1" t="s">
        <v>25</v>
      </c>
      <c r="B16" s="1">
        <v>0.21899661326540701</v>
      </c>
      <c r="C16" s="1">
        <v>1.64404692443468</v>
      </c>
      <c r="D16" s="1">
        <v>8.6640334646757703E-4</v>
      </c>
      <c r="E16" s="1">
        <v>-1.6269448550475401E-4</v>
      </c>
      <c r="F16" s="1">
        <v>1.75479085090545</v>
      </c>
      <c r="G16" s="1">
        <v>41.646894268720501</v>
      </c>
      <c r="H16" s="1">
        <v>1.1497004275487601E-3</v>
      </c>
    </row>
    <row r="17" spans="1:8" ht="42.75">
      <c r="A17" s="1" t="s">
        <v>26</v>
      </c>
      <c r="B17" s="1">
        <v>0.21885786728813</v>
      </c>
      <c r="C17" s="1">
        <v>1.6443535522631101</v>
      </c>
      <c r="D17" s="1">
        <v>7.1215935716039205E-4</v>
      </c>
      <c r="E17" s="1">
        <v>-2.1129528961828499E-4</v>
      </c>
      <c r="F17" s="1">
        <v>1.7527819888646701</v>
      </c>
      <c r="G17" s="1">
        <v>41.741083001447798</v>
      </c>
      <c r="H17" s="1">
        <v>6.4487979929330602E-4</v>
      </c>
    </row>
    <row r="18" spans="1:8" ht="42.75">
      <c r="A18" s="1" t="s">
        <v>27</v>
      </c>
      <c r="B18" s="1">
        <v>0.21579488523700499</v>
      </c>
      <c r="C18" s="1">
        <v>1.6436183137879601</v>
      </c>
      <c r="D18" s="1">
        <v>-1.8632726990229099E-4</v>
      </c>
      <c r="E18" s="1">
        <v>1.2278064477047699E-4</v>
      </c>
      <c r="F18" s="1">
        <v>1.7589237292208599</v>
      </c>
      <c r="G18" s="1">
        <v>39.792478530073197</v>
      </c>
      <c r="H18" s="1">
        <v>9.2344062197987297E-4</v>
      </c>
    </row>
    <row r="19" spans="1:8" ht="42.75">
      <c r="A19" s="1" t="s">
        <v>28</v>
      </c>
      <c r="B19" s="1">
        <v>0.220755926487161</v>
      </c>
      <c r="C19" s="1">
        <v>1.64382525913363</v>
      </c>
      <c r="D19" s="1">
        <v>6.2353997813357695E-4</v>
      </c>
      <c r="E19" s="2">
        <v>-2.8534614218953098E-5</v>
      </c>
      <c r="F19" s="1">
        <v>2.2516486650647001</v>
      </c>
      <c r="G19" s="1">
        <v>41.783011611444799</v>
      </c>
      <c r="H19" s="1">
        <v>1.11791343814928E-3</v>
      </c>
    </row>
    <row r="20" spans="1:8" ht="42.75">
      <c r="A20" s="1" t="s">
        <v>29</v>
      </c>
      <c r="B20" s="1">
        <v>0.22011228616490899</v>
      </c>
      <c r="C20" s="1">
        <v>1.64348610464689</v>
      </c>
      <c r="D20" s="1">
        <v>9.2234666986964803E-4</v>
      </c>
      <c r="E20" s="1">
        <v>-2.2509176513319E-4</v>
      </c>
      <c r="F20" s="1">
        <v>2.0068531933023799</v>
      </c>
      <c r="G20" s="1">
        <v>41.581987903430303</v>
      </c>
      <c r="H20" s="1">
        <v>1.10213714639535E-3</v>
      </c>
    </row>
    <row r="21" spans="1:8" ht="42.75">
      <c r="A21" s="1" t="s">
        <v>30</v>
      </c>
      <c r="B21" s="1">
        <v>0.21961259407713499</v>
      </c>
      <c r="C21" s="1">
        <v>1.6431519587171199</v>
      </c>
      <c r="D21" s="1">
        <v>-8.98368210649925E-4</v>
      </c>
      <c r="E21" s="1">
        <v>2.87788294040186E-4</v>
      </c>
      <c r="F21" s="1">
        <v>1.75603657068533</v>
      </c>
      <c r="G21" s="1">
        <v>41.046850345897496</v>
      </c>
      <c r="H21" s="1">
        <v>1.1326552597939301E-3</v>
      </c>
    </row>
    <row r="22" spans="1:8" ht="42.75">
      <c r="A22" s="1" t="s">
        <v>31</v>
      </c>
      <c r="B22" s="1">
        <v>0.22007796981835101</v>
      </c>
      <c r="C22" s="1">
        <v>1.64295876627863</v>
      </c>
      <c r="D22" s="1">
        <v>9.2318143407998899E-4</v>
      </c>
      <c r="E22" s="1">
        <v>-2.1110072192529801E-4</v>
      </c>
      <c r="F22" s="1">
        <v>1.75221243179763</v>
      </c>
      <c r="G22" s="1">
        <v>39.7915941620276</v>
      </c>
      <c r="H22" s="1">
        <v>6.4904403555473503E-4</v>
      </c>
    </row>
    <row r="23" spans="1:8" ht="42.75">
      <c r="A23" s="1" t="s">
        <v>32</v>
      </c>
      <c r="B23" s="1">
        <v>0.21807344865282799</v>
      </c>
      <c r="C23" s="1">
        <v>1.6447830694557299</v>
      </c>
      <c r="D23" s="1">
        <v>9.9484461880319395E-4</v>
      </c>
      <c r="E23" s="1">
        <v>-2.3133919641483901E-4</v>
      </c>
      <c r="F23" s="1">
        <v>1.5023718389984899</v>
      </c>
      <c r="G23" s="1">
        <v>39.786640154392501</v>
      </c>
      <c r="H23" s="1">
        <v>1.0260107097636499E-3</v>
      </c>
    </row>
    <row r="24" spans="1:8" ht="42.75">
      <c r="A24" s="1" t="s">
        <v>33</v>
      </c>
      <c r="B24" s="1">
        <v>0.22239501023331501</v>
      </c>
      <c r="C24" s="1">
        <v>1.6444706844771499</v>
      </c>
      <c r="D24" s="1">
        <v>7.0452864958667899E-4</v>
      </c>
      <c r="E24" s="1">
        <v>-1.9910146952367301E-4</v>
      </c>
      <c r="F24" s="1">
        <v>1.7539709214593799</v>
      </c>
      <c r="G24" s="1">
        <v>41.619253940419497</v>
      </c>
      <c r="H24" s="1">
        <v>7.28828484178991E-4</v>
      </c>
    </row>
    <row r="25" spans="1:8" ht="42.75">
      <c r="A25" s="1" t="s">
        <v>34</v>
      </c>
      <c r="B25" s="1">
        <v>0.22148912103303101</v>
      </c>
      <c r="C25" s="1">
        <v>1.6441889890849499</v>
      </c>
      <c r="D25" s="1">
        <v>-6.6966488948638802E-4</v>
      </c>
      <c r="E25" s="1">
        <v>1.8938665496245601E-4</v>
      </c>
      <c r="F25" s="1">
        <v>1.7124875755484701</v>
      </c>
      <c r="G25" s="1">
        <v>41.7570097538946</v>
      </c>
      <c r="H25" s="1">
        <v>1.0747372787732799E-3</v>
      </c>
    </row>
    <row r="26" spans="1:8" ht="42.75">
      <c r="A26" s="1" t="s">
        <v>35</v>
      </c>
      <c r="B26" s="1">
        <v>0.21932862474141701</v>
      </c>
      <c r="C26" s="1">
        <v>1.64324080839627</v>
      </c>
      <c r="D26" s="1">
        <v>1.62082438821874E-3</v>
      </c>
      <c r="E26" s="1">
        <v>-3.8924558664499E-4</v>
      </c>
      <c r="F26" s="1">
        <v>1.7538237437126001</v>
      </c>
      <c r="G26" s="1">
        <v>41.441909837560203</v>
      </c>
      <c r="H26" s="1">
        <v>6.7174682306964399E-4</v>
      </c>
    </row>
    <row r="27" spans="1:8" ht="42.75">
      <c r="A27" s="1" t="s">
        <v>36</v>
      </c>
      <c r="B27" s="1">
        <v>0.221461481179243</v>
      </c>
      <c r="C27" s="1">
        <v>1.643356799844</v>
      </c>
      <c r="D27" s="1">
        <v>4.7637616951334599E-4</v>
      </c>
      <c r="E27" s="1">
        <v>-1.19009274637778E-4</v>
      </c>
      <c r="F27" s="1">
        <v>1.7556300435044201</v>
      </c>
      <c r="G27" s="1">
        <v>41.768493392276497</v>
      </c>
      <c r="H27" s="1">
        <v>1.1556882131914001E-3</v>
      </c>
    </row>
    <row r="28" spans="1:8" ht="42.75">
      <c r="A28" s="1" t="s">
        <v>37</v>
      </c>
      <c r="B28" s="1">
        <v>0.22005818833098301</v>
      </c>
      <c r="C28" s="1">
        <v>1.6432475436476299</v>
      </c>
      <c r="D28" s="1">
        <v>-6.5909148666375801E-4</v>
      </c>
      <c r="E28" s="1">
        <v>2.3593154509280099E-4</v>
      </c>
      <c r="F28" s="1">
        <v>1.4963513289010799</v>
      </c>
      <c r="G28" s="1">
        <v>39.859116006165898</v>
      </c>
      <c r="H28" s="1">
        <v>5.8146744061970403E-4</v>
      </c>
    </row>
    <row r="29" spans="1:8" ht="42.75">
      <c r="A29" s="1" t="s">
        <v>38</v>
      </c>
      <c r="B29" s="1">
        <v>0.220804530471746</v>
      </c>
      <c r="C29" s="1">
        <v>1.64192857538632</v>
      </c>
      <c r="D29" s="1">
        <v>3.4192021960120501E-4</v>
      </c>
      <c r="E29" s="2">
        <v>-4.7928246429927401E-5</v>
      </c>
      <c r="F29" s="1">
        <v>2.0024835489392001</v>
      </c>
      <c r="G29" s="1">
        <v>41.901433509814801</v>
      </c>
      <c r="H29" s="1">
        <v>1.15715386843092E-3</v>
      </c>
    </row>
    <row r="30" spans="1:8" ht="42.75">
      <c r="A30" s="1" t="s">
        <v>39</v>
      </c>
      <c r="B30" s="1">
        <v>0.22042567690074599</v>
      </c>
      <c r="C30" s="1">
        <v>1.6424819186811199</v>
      </c>
      <c r="D30" s="1">
        <v>8.9167442499691598E-4</v>
      </c>
      <c r="E30" s="1">
        <v>-2.6777879153215301E-4</v>
      </c>
      <c r="F30" s="1">
        <v>1.5018868953020099</v>
      </c>
      <c r="G30" s="1">
        <v>41.847808013328503</v>
      </c>
      <c r="H30" s="1">
        <v>1.1217384697834599E-3</v>
      </c>
    </row>
    <row r="31" spans="1:8" ht="42.75">
      <c r="A31" s="1" t="s">
        <v>40</v>
      </c>
      <c r="B31" s="1">
        <v>0.22236680616370999</v>
      </c>
      <c r="C31" s="1">
        <v>1.64311450570557</v>
      </c>
      <c r="D31" s="1">
        <v>-2.094371672877E-4</v>
      </c>
      <c r="E31" s="2">
        <v>7.1919105289715206E-5</v>
      </c>
      <c r="F31" s="1">
        <v>1.50286600489086</v>
      </c>
      <c r="G31" s="1">
        <v>41.927702124785696</v>
      </c>
      <c r="H31" s="1">
        <v>1.1426091966359399E-3</v>
      </c>
    </row>
    <row r="32" spans="1:8" ht="42.75">
      <c r="A32" s="1" t="s">
        <v>41</v>
      </c>
      <c r="B32" s="1">
        <v>0.219474041342478</v>
      </c>
      <c r="C32" s="1">
        <v>1.6424372716328499</v>
      </c>
      <c r="D32" s="1">
        <v>1.0679404051288301E-3</v>
      </c>
      <c r="E32" s="1">
        <v>-1.8278662864978701E-4</v>
      </c>
      <c r="F32" s="1">
        <v>1.7543420348896801</v>
      </c>
      <c r="G32" s="1">
        <v>39.9028695991177</v>
      </c>
      <c r="H32" s="1">
        <v>8.74782120086139E-4</v>
      </c>
    </row>
    <row r="33" spans="1:8" ht="42.75">
      <c r="A33" s="1" t="s">
        <v>42</v>
      </c>
      <c r="B33" s="1">
        <v>0.22174008177054699</v>
      </c>
      <c r="C33" s="1">
        <v>1.64282583883987</v>
      </c>
      <c r="D33" s="1">
        <v>7.3567013724632803E-4</v>
      </c>
      <c r="E33" s="1">
        <v>-1.7293155197984199E-4</v>
      </c>
      <c r="F33" s="1">
        <v>1.5012744249923899</v>
      </c>
      <c r="G33" s="1">
        <v>41.903434254825498</v>
      </c>
      <c r="H33" s="1">
        <v>9.1391354086421195E-4</v>
      </c>
    </row>
    <row r="34" spans="1:8" ht="42.75">
      <c r="A34" s="1" t="s">
        <v>43</v>
      </c>
      <c r="B34" s="1">
        <v>0.220246153111534</v>
      </c>
      <c r="C34" s="1">
        <v>1.6433390921789801</v>
      </c>
      <c r="D34" s="1">
        <v>-8.2414246906330104E-4</v>
      </c>
      <c r="E34" s="1">
        <v>2.2914801490496201E-4</v>
      </c>
      <c r="F34" s="1">
        <v>1.5034661542513901</v>
      </c>
      <c r="G34" s="1">
        <v>41.839732056055603</v>
      </c>
      <c r="H34" s="1">
        <v>5.8937978079819499E-4</v>
      </c>
    </row>
    <row r="35" spans="1:8" ht="42.75">
      <c r="A35" s="1" t="s">
        <v>44</v>
      </c>
      <c r="B35" s="1">
        <v>0.21859609431965099</v>
      </c>
      <c r="C35" s="1">
        <v>1.64295907910466</v>
      </c>
      <c r="D35" s="1">
        <v>5.2142748743378505E-4</v>
      </c>
      <c r="E35" s="2">
        <v>-8.0726456665667899E-5</v>
      </c>
      <c r="F35" s="1">
        <v>1.99967226013683</v>
      </c>
      <c r="G35" s="1">
        <v>40.080571009752099</v>
      </c>
      <c r="H35" s="1">
        <v>6.6222892882976598E-4</v>
      </c>
    </row>
    <row r="36" spans="1:8" ht="42.75">
      <c r="A36" s="1" t="s">
        <v>45</v>
      </c>
      <c r="B36" s="1">
        <v>0.22158291221496201</v>
      </c>
      <c r="C36" s="1">
        <v>1.64217173128998</v>
      </c>
      <c r="D36" s="1">
        <v>5.9597482173044702E-4</v>
      </c>
      <c r="E36" s="2">
        <v>-1.45334526189524E-5</v>
      </c>
      <c r="F36" s="1">
        <v>1.75541534750874</v>
      </c>
      <c r="G36" s="1">
        <v>41.9739110063867</v>
      </c>
      <c r="H36" s="1">
        <v>5.9772271520538902E-4</v>
      </c>
    </row>
    <row r="37" spans="1:8">
      <c r="A37" s="1"/>
      <c r="B37" s="1"/>
      <c r="C37" s="1"/>
      <c r="D37" s="2"/>
      <c r="E37" s="2"/>
      <c r="F37" s="1"/>
      <c r="G37" s="1"/>
      <c r="H3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CB368-1F4F-4C65-B86B-93EC676CB77B}">
  <dimension ref="A1:I37"/>
  <sheetViews>
    <sheetView tabSelected="1" topLeftCell="A25" workbookViewId="0">
      <selection activeCell="F30" sqref="F30"/>
    </sheetView>
  </sheetViews>
  <sheetFormatPr defaultRowHeight="14.25"/>
  <sheetData>
    <row r="1" spans="1:9">
      <c r="A1" s="1" t="s">
        <v>0</v>
      </c>
      <c r="B1" s="1" t="s">
        <v>4</v>
      </c>
      <c r="C1" s="1" t="s">
        <v>4</v>
      </c>
    </row>
    <row r="2" spans="1:9" ht="42.75">
      <c r="A2" s="1" t="s">
        <v>18</v>
      </c>
      <c r="B2" s="1">
        <v>13.5587346114607</v>
      </c>
      <c r="C2" s="1">
        <v>0.22233607124480101</v>
      </c>
    </row>
    <row r="3" spans="1:9" ht="42.75">
      <c r="A3" s="1" t="s">
        <v>19</v>
      </c>
      <c r="B3" s="1">
        <v>13.6287894663453</v>
      </c>
      <c r="C3" s="1">
        <v>0.222916111013889</v>
      </c>
      <c r="H3">
        <v>894</v>
      </c>
      <c r="I3">
        <v>456</v>
      </c>
    </row>
    <row r="4" spans="1:9" ht="42.75">
      <c r="A4" s="1" t="s">
        <v>20</v>
      </c>
      <c r="B4" s="1">
        <v>13.564281814943399</v>
      </c>
      <c r="C4" s="1">
        <v>0.21978080516705001</v>
      </c>
      <c r="G4" t="s">
        <v>1</v>
      </c>
      <c r="H4">
        <f>AVERAGE(B2:B33)</f>
        <v>13.564258804706444</v>
      </c>
      <c r="I4">
        <f>AVERAGE(C2:C33)</f>
        <v>0.22014997422058527</v>
      </c>
    </row>
    <row r="5" spans="1:9" ht="42.75">
      <c r="A5" s="1" t="s">
        <v>21</v>
      </c>
      <c r="B5" s="1">
        <v>13.588373998833699</v>
      </c>
      <c r="C5" s="1">
        <v>0.21701744510815299</v>
      </c>
      <c r="G5" t="s">
        <v>2</v>
      </c>
      <c r="H5">
        <f>_xlfn.STDEV.S(B2:B33)</f>
        <v>8.5796131464320954E-2</v>
      </c>
      <c r="I5">
        <f>_xlfn.STDEV.S(C2:C33)</f>
        <v>1.7316343267030148E-3</v>
      </c>
    </row>
    <row r="6" spans="1:9" ht="42.75">
      <c r="A6" s="1" t="s">
        <v>22</v>
      </c>
      <c r="B6" s="1">
        <v>13.4847013836913</v>
      </c>
      <c r="C6" s="1">
        <v>0.22292724198768199</v>
      </c>
      <c r="G6" t="s">
        <v>3</v>
      </c>
      <c r="H6">
        <f>H5/H4/SQRT(COUNT(B2:B33))</f>
        <v>1.1181411979721292E-3</v>
      </c>
      <c r="I6">
        <f>I5/I4/SQRT(COUNT(C2:C33))</f>
        <v>1.3904729937876711E-3</v>
      </c>
    </row>
    <row r="7" spans="1:9" ht="42.75">
      <c r="A7" s="1" t="s">
        <v>23</v>
      </c>
      <c r="B7" s="1">
        <v>13.493443306898801</v>
      </c>
      <c r="C7" s="1">
        <v>0.222109442813166</v>
      </c>
    </row>
    <row r="8" spans="1:9" ht="42.75">
      <c r="A8" s="1" t="s">
        <v>24</v>
      </c>
      <c r="B8" s="1">
        <v>13.693036667407799</v>
      </c>
      <c r="C8" s="1">
        <v>0.221905259897859</v>
      </c>
    </row>
    <row r="9" spans="1:9" ht="42.75">
      <c r="A9" s="1" t="s">
        <v>25</v>
      </c>
      <c r="B9" s="1">
        <v>13.6672309767879</v>
      </c>
      <c r="C9" s="1">
        <v>0.21899661326540701</v>
      </c>
    </row>
    <row r="10" spans="1:9" ht="42.75">
      <c r="A10" s="1" t="s">
        <v>26</v>
      </c>
      <c r="B10" s="1">
        <v>13.6270332177755</v>
      </c>
      <c r="C10" s="1">
        <v>0.21885786728813</v>
      </c>
    </row>
    <row r="11" spans="1:9" ht="42.75">
      <c r="A11" s="1" t="s">
        <v>27</v>
      </c>
      <c r="B11" s="1">
        <v>13.5711113836892</v>
      </c>
      <c r="C11" s="1">
        <v>0.21579488523700499</v>
      </c>
    </row>
    <row r="12" spans="1:9" ht="42.75">
      <c r="A12" s="1" t="s">
        <v>28</v>
      </c>
      <c r="B12" s="1">
        <v>13.600332344222</v>
      </c>
      <c r="C12" s="1">
        <v>0.220755926487161</v>
      </c>
    </row>
    <row r="13" spans="1:9" ht="42.75">
      <c r="A13" s="1" t="s">
        <v>29</v>
      </c>
      <c r="B13" s="1">
        <v>13.5009743955892</v>
      </c>
      <c r="C13" s="1">
        <v>0.22011228616490899</v>
      </c>
    </row>
    <row r="14" spans="1:9" ht="42.75">
      <c r="A14" s="1" t="s">
        <v>30</v>
      </c>
      <c r="B14" s="1">
        <v>13.597133836560999</v>
      </c>
      <c r="C14" s="1">
        <v>0.21961259407713499</v>
      </c>
    </row>
    <row r="15" spans="1:9" ht="42.75">
      <c r="A15" s="1" t="s">
        <v>31</v>
      </c>
      <c r="B15" s="1">
        <v>13.345801926629401</v>
      </c>
      <c r="C15" s="1">
        <v>0.22007796981835101</v>
      </c>
    </row>
    <row r="16" spans="1:9" ht="42.75">
      <c r="A16" s="1" t="s">
        <v>32</v>
      </c>
      <c r="B16" s="1">
        <v>13.5152469728806</v>
      </c>
      <c r="C16" s="1">
        <v>0.21807344865282799</v>
      </c>
    </row>
    <row r="17" spans="1:3" ht="42.75">
      <c r="A17" s="1" t="s">
        <v>33</v>
      </c>
      <c r="B17" s="1">
        <v>13.5963637628518</v>
      </c>
      <c r="C17" s="1">
        <v>0.22239501023331501</v>
      </c>
    </row>
    <row r="18" spans="1:3" ht="42.75">
      <c r="A18" s="1" t="s">
        <v>34</v>
      </c>
      <c r="B18" s="1">
        <v>13.6061621269385</v>
      </c>
      <c r="C18" s="1">
        <v>0.22148912103303101</v>
      </c>
    </row>
    <row r="19" spans="1:3" ht="42.75">
      <c r="A19" s="1" t="s">
        <v>35</v>
      </c>
      <c r="B19" s="1">
        <v>13.564508484015001</v>
      </c>
      <c r="C19" s="1">
        <v>0.21932862474141701</v>
      </c>
    </row>
    <row r="20" spans="1:3" ht="42.75">
      <c r="A20" s="1" t="s">
        <v>36</v>
      </c>
      <c r="B20" s="1">
        <v>13.566012885219999</v>
      </c>
      <c r="C20" s="1">
        <v>0.221461481179243</v>
      </c>
    </row>
    <row r="21" spans="1:3" ht="42.75">
      <c r="A21" s="1" t="s">
        <v>37</v>
      </c>
      <c r="B21" s="1">
        <v>13.677050331463599</v>
      </c>
      <c r="C21" s="1">
        <v>0.22005818833098301</v>
      </c>
    </row>
    <row r="22" spans="1:3" ht="42.75">
      <c r="A22" s="1" t="s">
        <v>11</v>
      </c>
      <c r="B22" s="1">
        <v>13.697864550150999</v>
      </c>
      <c r="C22" s="1">
        <v>0.218777420016466</v>
      </c>
    </row>
    <row r="23" spans="1:3" ht="42.75">
      <c r="A23" s="1" t="s">
        <v>12</v>
      </c>
      <c r="B23" s="1">
        <v>13.521765815989101</v>
      </c>
      <c r="C23" s="1">
        <v>0.22017842865582701</v>
      </c>
    </row>
    <row r="24" spans="1:3" ht="42.75">
      <c r="A24" s="1" t="s">
        <v>13</v>
      </c>
      <c r="B24" s="1">
        <v>13.5769688965988</v>
      </c>
      <c r="C24" s="1">
        <v>0.21788210076678599</v>
      </c>
    </row>
    <row r="25" spans="1:3" ht="42.75">
      <c r="A25" s="1" t="s">
        <v>14</v>
      </c>
      <c r="B25" s="1">
        <v>13.480301532390399</v>
      </c>
      <c r="C25" s="1">
        <v>0.219800999056638</v>
      </c>
    </row>
    <row r="26" spans="1:3" ht="42.75">
      <c r="A26" s="1" t="s">
        <v>15</v>
      </c>
      <c r="B26" s="1">
        <v>13.457843174234499</v>
      </c>
      <c r="C26" s="1">
        <v>0.218443725860095</v>
      </c>
    </row>
    <row r="27" spans="1:3" ht="42.75">
      <c r="A27" s="1" t="s">
        <v>16</v>
      </c>
      <c r="B27" s="1">
        <v>13.4601858284096</v>
      </c>
      <c r="C27" s="1">
        <v>0.21984807108405599</v>
      </c>
    </row>
    <row r="28" spans="1:3" ht="42.75">
      <c r="A28" s="1" t="s">
        <v>17</v>
      </c>
      <c r="B28" s="1">
        <v>13.441398970797801</v>
      </c>
      <c r="C28" s="1">
        <v>0.21905089922811899</v>
      </c>
    </row>
    <row r="29" spans="1:3" ht="42.75">
      <c r="A29" s="1" t="s">
        <v>38</v>
      </c>
      <c r="B29" s="1">
        <v>13.4597843604533</v>
      </c>
      <c r="C29" s="1">
        <v>0.220804530471746</v>
      </c>
    </row>
    <row r="30" spans="1:3" ht="42.75">
      <c r="A30" s="1" t="s">
        <v>39</v>
      </c>
      <c r="B30" s="1">
        <v>13.5606966844732</v>
      </c>
      <c r="C30" s="1">
        <v>0.22042567690074599</v>
      </c>
    </row>
    <row r="31" spans="1:3" ht="42.75">
      <c r="A31" s="1" t="s">
        <v>40</v>
      </c>
      <c r="B31" s="1">
        <v>13.566424750775999</v>
      </c>
      <c r="C31" s="1">
        <v>0.22236680616370999</v>
      </c>
    </row>
    <row r="32" spans="1:3" ht="42.75">
      <c r="A32" s="1" t="s">
        <v>41</v>
      </c>
      <c r="B32" s="1">
        <v>13.677756444678201</v>
      </c>
      <c r="C32" s="1">
        <v>0.219474041342478</v>
      </c>
    </row>
    <row r="33" spans="1:3" ht="42.75">
      <c r="A33" s="1" t="s">
        <v>42</v>
      </c>
      <c r="B33" s="1">
        <v>13.7089668474497</v>
      </c>
      <c r="C33" s="1">
        <v>0.22174008177054699</v>
      </c>
    </row>
    <row r="34" spans="1:3" ht="42.75">
      <c r="A34" s="1" t="s">
        <v>43</v>
      </c>
      <c r="B34" s="1">
        <v>13.5896342791272</v>
      </c>
      <c r="C34" s="1">
        <v>0.220246153111534</v>
      </c>
    </row>
    <row r="35" spans="1:3" ht="42.75">
      <c r="A35" s="1" t="s">
        <v>44</v>
      </c>
      <c r="B35" s="1">
        <v>13.672859971194899</v>
      </c>
      <c r="C35" s="1">
        <v>0.21859609431965099</v>
      </c>
    </row>
    <row r="36" spans="1:3" ht="42.75">
      <c r="A36" s="1" t="s">
        <v>45</v>
      </c>
      <c r="B36" s="1">
        <v>13.4234538610926</v>
      </c>
      <c r="C36" s="1">
        <v>0.22158291221496201</v>
      </c>
    </row>
    <row r="37" spans="1:3">
      <c r="C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894</vt:lpstr>
      <vt:lpstr>456</vt:lpstr>
      <vt:lpstr>AbsCoef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2026-06-24T14:26:48Z</dcterms:created>
  <dcterms:modified xsi:type="dcterms:W3CDTF">2026-07-07T22:57:19Z</dcterms:modified>
</cp:coreProperties>
</file>