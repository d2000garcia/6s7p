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l15,2026\"/>
    </mc:Choice>
  </mc:AlternateContent>
  <xr:revisionPtr revIDLastSave="0" documentId="13_ncr:1_{E4D4E329-BDF7-4DD3-B368-4B7F23B456D9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G3" i="3"/>
  <c r="G5" i="3" s="1"/>
  <c r="G4" i="3"/>
  <c r="F4" i="3" l="1"/>
  <c r="F5" i="3" l="1"/>
</calcChain>
</file>

<file path=xl/sharedStrings.xml><?xml version="1.0" encoding="utf-8"?>
<sst xmlns="http://schemas.openxmlformats.org/spreadsheetml/2006/main" count="94" uniqueCount="35">
  <si>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</si>
  <si>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</si>
  <si>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</si>
  <si>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</si>
  <si>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</si>
  <si>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</si>
  <si>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</si>
  <si>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</si>
  <si>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</si>
  <si>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</si>
  <si>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</si>
  <si>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Jul15,2026+3-04-00PM</t>
  </si>
  <si>
    <t>Jul15,2026+3-13-10PM</t>
  </si>
  <si>
    <t>Jul15,2026+3-22-33PM</t>
  </si>
  <si>
    <t>Jul15,2026+3-30-33PM</t>
  </si>
  <si>
    <t>Jul15,2026+3-38-38PM</t>
  </si>
  <si>
    <t>Jul15,2026+3-46-37PM</t>
  </si>
  <si>
    <t>Jul15,2026+3-54-53PM</t>
  </si>
  <si>
    <t>Jul15,2026+4-02-52PM</t>
  </si>
  <si>
    <t>Jul15,2026+4-11-03PM</t>
  </si>
  <si>
    <t>Jul15,2026+4-19-02PM</t>
  </si>
  <si>
    <t>Jul15,2026+4-29-19PM</t>
  </si>
  <si>
    <t>Jul15,2026+4-38-38PM</t>
  </si>
  <si>
    <t>Jul15,2026+4-50-06PM</t>
  </si>
  <si>
    <t>Jul15,2026+5-14-19PM</t>
  </si>
  <si>
    <t>Jul15,2026+5-22-17PM</t>
  </si>
  <si>
    <t>Jul15,2026+5-34-47PM</t>
  </si>
  <si>
    <t>Jul15,2026+5-42-51PM</t>
  </si>
  <si>
    <t>Jul15,2026+6-20-54PM</t>
  </si>
  <si>
    <t>Jul15,2026+6-35-34PM</t>
  </si>
  <si>
    <t>Jul15,2026+6-43-28PM</t>
  </si>
  <si>
    <t>Jul15,2026+6-52-08PM</t>
  </si>
  <si>
    <t>Jul15,2026+7-09-53PM</t>
  </si>
  <si>
    <t>Jul15,2026+7-17-49PM</t>
  </si>
  <si>
    <t>Jul15,2026+7-27-51PM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</si>
</sst>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5.2401573655099698</v>
      </c>
      <c r="C2" s="1">
        <v>1.3548072098323001</v>
      </c>
      <c r="D2" s="1">
        <v>-4.0823694445868801E-3</v>
      </c>
      <c r="E2" s="1">
        <v>2.1303269930375799</v>
      </c>
      <c r="F2" s="1">
        <v>40.223557740035901</v>
      </c>
      <c r="G2" s="1">
        <v>2.5229166877786501E-3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2.75">
      <c r="A3" s="1" t="s">
        <v>12</v>
      </c>
      <c r="B3" s="1">
        <v>5.2402095305102501</v>
      </c>
      <c r="C3" s="1">
        <v>1.3534435947074199</v>
      </c>
      <c r="D3" s="1">
        <v>-4.2387314014701097E-3</v>
      </c>
      <c r="E3" s="1">
        <v>2.1304649874066102</v>
      </c>
      <c r="F3" s="1">
        <v>41.044979189124199</v>
      </c>
      <c r="G3" s="1">
        <v>2.4830402420808798E-3</v>
      </c>
      <c r="H3" s="1"/>
      <c r="T3" s="1"/>
      <c r="U3" s="1"/>
      <c r="V3" s="1"/>
    </row>
    <row r="4" spans="1:22" ht="42.75">
      <c r="A4" s="1" t="s">
        <v>13</v>
      </c>
      <c r="B4" s="1">
        <v>5.2325481598897898</v>
      </c>
      <c r="C4" s="1">
        <v>1.35581623495755</v>
      </c>
      <c r="D4" s="1">
        <v>-4.7014541523822699E-3</v>
      </c>
      <c r="E4" s="1">
        <v>2.1307496715775298</v>
      </c>
      <c r="F4" s="1">
        <v>41.151518683426502</v>
      </c>
      <c r="G4" s="1">
        <v>2.95855577887549E-3</v>
      </c>
      <c r="H4" s="1"/>
      <c r="T4" s="1"/>
    </row>
    <row r="5" spans="1:22" ht="42.75">
      <c r="A5" s="1" t="s">
        <v>14</v>
      </c>
      <c r="B5" s="1">
        <v>5.2632048700287699</v>
      </c>
      <c r="C5" s="1">
        <v>1.35726658119409</v>
      </c>
      <c r="D5" s="1">
        <v>-4.6379783817750196E-3</v>
      </c>
      <c r="E5" s="1">
        <v>2.13102481517828</v>
      </c>
      <c r="F5" s="1">
        <v>40.997852646011602</v>
      </c>
      <c r="G5" s="1">
        <v>2.6380779721602299E-3</v>
      </c>
      <c r="H5" s="1"/>
      <c r="T5" s="1"/>
    </row>
    <row r="6" spans="1:22" ht="42.75">
      <c r="A6" s="1" t="s">
        <v>15</v>
      </c>
      <c r="B6" s="1">
        <v>5.2341542225512701</v>
      </c>
      <c r="C6" s="1">
        <v>1.3548409280548099</v>
      </c>
      <c r="D6" s="1">
        <v>-4.2550856854351397E-3</v>
      </c>
      <c r="E6" s="1">
        <v>2.1300328130521602</v>
      </c>
      <c r="F6" s="1">
        <v>40.103099371629703</v>
      </c>
      <c r="G6" s="1">
        <v>2.8157079643645702E-3</v>
      </c>
      <c r="H6" s="1"/>
      <c r="T6" s="1"/>
    </row>
    <row r="7" spans="1:22" ht="42.75">
      <c r="A7" s="1" t="s">
        <v>16</v>
      </c>
      <c r="B7" s="1">
        <v>5.2499074678307798</v>
      </c>
      <c r="C7" s="1">
        <v>1.35520467067982</v>
      </c>
      <c r="D7" s="1">
        <v>-4.2056008751281404E-3</v>
      </c>
      <c r="E7" s="1">
        <v>2.13100690834563</v>
      </c>
      <c r="F7" s="1">
        <v>40.959834519068501</v>
      </c>
      <c r="G7" s="1">
        <v>2.3484395734751202E-3</v>
      </c>
      <c r="H7" s="1"/>
      <c r="T7" s="1"/>
    </row>
    <row r="8" spans="1:22" ht="42.75">
      <c r="A8" s="1" t="s">
        <v>17</v>
      </c>
      <c r="B8" s="1">
        <v>5.2609478156281302</v>
      </c>
      <c r="C8" s="1">
        <v>1.35533033318053</v>
      </c>
      <c r="D8" s="1">
        <v>-3.9743835228623504E-3</v>
      </c>
      <c r="E8" s="1">
        <v>2.1305080610985598</v>
      </c>
      <c r="F8" s="1">
        <v>40.329852634452102</v>
      </c>
      <c r="G8" s="1">
        <v>2.6301115854717302E-3</v>
      </c>
      <c r="H8" s="1"/>
      <c r="T8" s="1"/>
    </row>
    <row r="9" spans="1:22" ht="42.75">
      <c r="A9" s="1" t="s">
        <v>18</v>
      </c>
      <c r="B9" s="1">
        <v>5.2522638411999596</v>
      </c>
      <c r="C9" s="1">
        <v>1.35559759970698</v>
      </c>
      <c r="D9" s="1">
        <v>-4.0953851333317901E-3</v>
      </c>
      <c r="E9" s="1">
        <v>2.1302871197209701</v>
      </c>
      <c r="F9" s="1">
        <v>40.040428989770703</v>
      </c>
      <c r="G9" s="1">
        <v>2.4268695633698199E-3</v>
      </c>
      <c r="H9" s="1"/>
      <c r="T9" s="1"/>
    </row>
    <row r="10" spans="1:22" ht="42.75">
      <c r="A10" s="1" t="s">
        <v>19</v>
      </c>
      <c r="B10" s="1">
        <v>5.2381148673874796</v>
      </c>
      <c r="C10" s="1">
        <v>1.3544834116894</v>
      </c>
      <c r="D10" s="1">
        <v>-3.6602266352878301E-3</v>
      </c>
      <c r="E10" s="1">
        <v>2.1307955164362702</v>
      </c>
      <c r="F10" s="1">
        <v>40.032655410819899</v>
      </c>
      <c r="G10" s="1">
        <v>2.4692512092938999E-3</v>
      </c>
      <c r="H10" s="1"/>
      <c r="T10" s="1"/>
    </row>
    <row r="11" spans="1:22" ht="42.75">
      <c r="A11" s="1" t="s">
        <v>20</v>
      </c>
      <c r="B11" s="1">
        <v>5.2236574261532196</v>
      </c>
      <c r="C11" s="1">
        <v>1.35360998718948</v>
      </c>
      <c r="D11" s="1">
        <v>-4.0660360078460297E-3</v>
      </c>
      <c r="E11" s="1">
        <v>2.1303538892228402</v>
      </c>
      <c r="F11" s="1">
        <v>40.016238830775201</v>
      </c>
      <c r="G11" s="1">
        <v>2.2873004957192798E-3</v>
      </c>
      <c r="H11" s="1"/>
      <c r="T11" s="1"/>
    </row>
    <row r="12" spans="1:22" ht="42.75">
      <c r="A12" s="1" t="s">
        <v>21</v>
      </c>
      <c r="B12" s="1">
        <v>5.2262449444555799</v>
      </c>
      <c r="C12" s="1">
        <v>1.3568559343634099</v>
      </c>
      <c r="D12" s="1">
        <v>-4.29230105254949E-3</v>
      </c>
      <c r="E12" s="1">
        <v>2.1311468336594999</v>
      </c>
      <c r="F12" s="1">
        <v>40.0331760155278</v>
      </c>
      <c r="G12" s="1">
        <v>2.28988420235953E-3</v>
      </c>
      <c r="H12" s="1"/>
      <c r="T12" s="1"/>
    </row>
    <row r="13" spans="1:22" ht="42.75">
      <c r="A13" s="1" t="s">
        <v>22</v>
      </c>
      <c r="B13" s="1">
        <v>5.2457271314303799</v>
      </c>
      <c r="C13" s="1">
        <v>1.3559108902869501</v>
      </c>
      <c r="D13" s="1">
        <v>-4.4831595715121601E-3</v>
      </c>
      <c r="E13" s="1">
        <v>2.1305217015396298</v>
      </c>
      <c r="F13" s="1">
        <v>40.0057166826182</v>
      </c>
      <c r="G13" s="1">
        <v>2.4201829854882699E-3</v>
      </c>
      <c r="H13" s="1"/>
      <c r="T13" s="1"/>
    </row>
    <row r="14" spans="1:22" ht="42.75">
      <c r="A14" s="1" t="s">
        <v>23</v>
      </c>
      <c r="B14" s="1">
        <v>5.2597760818477397</v>
      </c>
      <c r="C14" s="1">
        <v>1.3440900185348299</v>
      </c>
      <c r="D14" s="1">
        <v>-3.4016036893320199E-3</v>
      </c>
      <c r="E14" s="1">
        <v>2.1308502868935402</v>
      </c>
      <c r="F14" s="1">
        <v>41.395450061763597</v>
      </c>
      <c r="G14" s="1">
        <v>2.6774301127297701E-3</v>
      </c>
      <c r="H14" s="1"/>
      <c r="T14" s="1"/>
    </row>
    <row r="15" spans="1:22" ht="42.75">
      <c r="A15" s="1" t="s">
        <v>24</v>
      </c>
      <c r="B15" s="1">
        <v>5.2273625593786797</v>
      </c>
      <c r="C15" s="1">
        <v>1.34758486207519</v>
      </c>
      <c r="D15" s="1">
        <v>-4.2858348836821696E-3</v>
      </c>
      <c r="E15" s="1">
        <v>2.1302307487554</v>
      </c>
      <c r="F15" s="1">
        <v>39.8936749900964</v>
      </c>
      <c r="G15" s="1">
        <v>2.5738971244778702E-3</v>
      </c>
      <c r="H15" s="1"/>
      <c r="T15" s="1"/>
    </row>
    <row r="16" spans="1:22" ht="42.75">
      <c r="A16" s="1" t="s">
        <v>25</v>
      </c>
      <c r="B16" s="1">
        <v>5.2281725990355099</v>
      </c>
      <c r="C16" s="1">
        <v>1.3476694479523901</v>
      </c>
      <c r="D16" s="1">
        <v>-4.37731425365396E-3</v>
      </c>
      <c r="E16" s="1">
        <v>2.1303736539506399</v>
      </c>
      <c r="F16" s="1">
        <v>40.293204880296599</v>
      </c>
      <c r="G16" s="1">
        <v>3.0182457350241098E-3</v>
      </c>
      <c r="H16" s="1"/>
      <c r="T16" s="1"/>
    </row>
    <row r="17" spans="1:20" ht="42.75">
      <c r="A17" s="1" t="s">
        <v>26</v>
      </c>
      <c r="B17" s="1">
        <v>5.2464873820867899</v>
      </c>
      <c r="C17" s="1">
        <v>1.3483708044824001</v>
      </c>
      <c r="D17" s="1">
        <v>-4.4049452107493003E-3</v>
      </c>
      <c r="E17" s="1">
        <v>2.1303199827149402</v>
      </c>
      <c r="F17" s="1">
        <v>41.005278961276197</v>
      </c>
      <c r="G17" s="1">
        <v>2.4809707508172299E-3</v>
      </c>
      <c r="H17" s="1"/>
      <c r="T17" s="1"/>
    </row>
    <row r="18" spans="1:20" ht="42.75">
      <c r="A18" s="1" t="s">
        <v>27</v>
      </c>
      <c r="B18" s="1">
        <v>5.2357499987829099</v>
      </c>
      <c r="C18" s="1">
        <v>1.34744040424988</v>
      </c>
      <c r="D18" s="1">
        <v>-4.5783148591868198E-3</v>
      </c>
      <c r="E18" s="1">
        <v>2.1304886764770399</v>
      </c>
      <c r="F18" s="1">
        <v>39.874663480000102</v>
      </c>
      <c r="G18" s="1">
        <v>2.9981257880977198E-3</v>
      </c>
      <c r="H18" s="1"/>
      <c r="T18" s="1"/>
    </row>
    <row r="19" spans="1:20" ht="42.75">
      <c r="A19" s="1" t="s">
        <v>28</v>
      </c>
      <c r="B19" s="1">
        <v>5.2426137496126399</v>
      </c>
      <c r="C19" s="1">
        <v>1.3399221409958999</v>
      </c>
      <c r="D19" s="1">
        <v>-3.0274283743280299E-3</v>
      </c>
      <c r="E19" s="1">
        <v>2.1288313028741901</v>
      </c>
      <c r="F19" s="1">
        <v>40.024138558976198</v>
      </c>
      <c r="G19" s="1">
        <v>2.28730051483519E-3</v>
      </c>
      <c r="H19" s="1"/>
    </row>
    <row r="20" spans="1:20" ht="42.75">
      <c r="A20" s="1" t="s">
        <v>29</v>
      </c>
      <c r="B20" s="1">
        <v>5.25389374708476</v>
      </c>
      <c r="C20" s="1">
        <v>1.34887462437533</v>
      </c>
      <c r="D20" s="1">
        <v>-4.7833283100393396E-3</v>
      </c>
      <c r="E20" s="1">
        <v>2.1303310623714702</v>
      </c>
      <c r="F20" s="1">
        <v>39.8913013207681</v>
      </c>
      <c r="G20" s="1">
        <v>2.7928915231714199E-3</v>
      </c>
      <c r="H20" s="1"/>
    </row>
    <row r="21" spans="1:20" ht="42.75">
      <c r="A21" s="1" t="s">
        <v>30</v>
      </c>
      <c r="B21" s="1">
        <v>5.2452132048918996</v>
      </c>
      <c r="C21" s="1">
        <v>1.34596338632723</v>
      </c>
      <c r="D21" s="1">
        <v>-4.4860020360921E-3</v>
      </c>
      <c r="E21" s="1">
        <v>2.1304981046654698</v>
      </c>
      <c r="F21" s="1">
        <v>40.721030470065799</v>
      </c>
      <c r="G21" s="1">
        <v>2.4720298022959E-3</v>
      </c>
      <c r="H21" s="1"/>
    </row>
    <row r="22" spans="1:20" ht="42.75">
      <c r="A22" s="1" t="s">
        <v>31</v>
      </c>
      <c r="B22" s="1">
        <v>5.2477036957110901</v>
      </c>
      <c r="C22" s="1">
        <v>1.3455066351293099</v>
      </c>
      <c r="D22" s="1">
        <v>-4.2010089857168996E-3</v>
      </c>
      <c r="E22" s="1">
        <v>2.1298161398867501</v>
      </c>
      <c r="F22" s="1">
        <v>39.910290480000199</v>
      </c>
      <c r="G22" s="1">
        <v>2.7305085750917901E-3</v>
      </c>
      <c r="H22" s="1"/>
    </row>
    <row r="23" spans="1:20" ht="42.75">
      <c r="A23" s="1" t="s">
        <v>32</v>
      </c>
      <c r="B23" s="1">
        <v>5.1912280334424699</v>
      </c>
      <c r="C23" s="1">
        <v>1.34741295333987</v>
      </c>
      <c r="D23" s="1">
        <v>-5.1799505801767799E-3</v>
      </c>
      <c r="E23" s="1">
        <v>2.1321629417906398</v>
      </c>
      <c r="F23" s="1">
        <v>39.927383070003302</v>
      </c>
      <c r="G23" s="1">
        <v>2.4525581306028298E-3</v>
      </c>
      <c r="H23" s="1"/>
    </row>
    <row r="24" spans="1:20" ht="42.75">
      <c r="A24" s="1" t="s">
        <v>33</v>
      </c>
      <c r="B24" s="1">
        <v>5.2649162726060403</v>
      </c>
      <c r="C24" s="1">
        <v>1.35312884704203</v>
      </c>
      <c r="D24" s="1">
        <v>-5.2642264103992401E-3</v>
      </c>
      <c r="E24" s="1">
        <v>2.1308971615275198</v>
      </c>
      <c r="F24" s="1">
        <v>39.937253650396599</v>
      </c>
      <c r="G24" s="1">
        <v>2.2873004957345098E-3</v>
      </c>
      <c r="H24" s="1"/>
    </row>
    <row r="25" spans="1:20" ht="42.75">
      <c r="A25" s="1" t="s">
        <v>34</v>
      </c>
      <c r="B25" s="1">
        <v>5.2682959002266401</v>
      </c>
      <c r="C25" s="1">
        <v>1.34744572797836</v>
      </c>
      <c r="D25" s="1">
        <v>-7.1333237591494399E-3</v>
      </c>
      <c r="E25" s="1">
        <v>2.1315272358980701</v>
      </c>
      <c r="F25" s="1">
        <v>39.942303230013401</v>
      </c>
      <c r="G25" s="1">
        <v>3.4543554710749799E-3</v>
      </c>
      <c r="H25" s="1"/>
    </row>
    <row r="26" spans="1:20">
      <c r="A26" s="1"/>
      <c r="B26" s="1"/>
      <c r="C26" s="1"/>
      <c r="D26" s="1"/>
      <c r="E26" s="1"/>
      <c r="F26" s="1"/>
      <c r="G26" s="1"/>
      <c r="H26" s="1"/>
    </row>
    <row r="27" spans="1:20">
      <c r="A27" s="1"/>
      <c r="B27" s="1"/>
      <c r="C27" s="1"/>
      <c r="D27" s="1"/>
      <c r="E27" s="1"/>
      <c r="F27" s="1"/>
      <c r="G27" s="1"/>
      <c r="H27" s="1"/>
    </row>
    <row r="28" spans="1:20">
      <c r="A28" s="1"/>
      <c r="B28" s="1"/>
      <c r="C28" s="1"/>
      <c r="D28" s="1"/>
      <c r="E28" s="1"/>
      <c r="F28" s="1"/>
      <c r="G28" s="1"/>
      <c r="H28" s="1"/>
    </row>
    <row r="29" spans="1:20">
      <c r="A29" s="1"/>
      <c r="B29" s="1"/>
      <c r="C29" s="1"/>
      <c r="D29" s="1"/>
      <c r="E29" s="1"/>
      <c r="F29" s="1"/>
      <c r="G29" s="1"/>
      <c r="H29" s="1"/>
    </row>
    <row r="30" spans="1:20">
      <c r="A30" s="1"/>
      <c r="B30" s="1"/>
      <c r="C30" s="1"/>
      <c r="D30" s="1"/>
      <c r="E30" s="1"/>
      <c r="F30" s="1"/>
      <c r="G30" s="1"/>
      <c r="H30" s="1"/>
    </row>
    <row r="31" spans="1:20">
      <c r="A31" s="1"/>
      <c r="B31" s="1"/>
      <c r="C31" s="1"/>
      <c r="D31" s="1"/>
      <c r="E31" s="1"/>
      <c r="F31" s="1"/>
      <c r="G31" s="1"/>
      <c r="H31" s="1"/>
    </row>
    <row r="32" spans="1:20">
      <c r="A32" s="1"/>
      <c r="B32" s="1"/>
      <c r="C32" s="1"/>
      <c r="D32" s="1"/>
      <c r="E32" s="1"/>
      <c r="F32" s="1"/>
      <c r="G32" s="1"/>
      <c r="H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4"/>
  <sheetViews>
    <sheetView zoomScale="99" zoomScaleNormal="99" workbookViewId="0">
      <selection sqref="A1:B1048576"/>
    </sheetView>
  </sheetViews>
  <sheetFormatPr defaultRowHeight="14.25"/>
  <cols>
    <col min="4" max="4" width="11.5" bestFit="1" customWidth="1"/>
  </cols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0.10788210556906901</v>
      </c>
      <c r="C2" s="1">
        <v>1.62513102048731</v>
      </c>
      <c r="D2" s="2">
        <v>4.1458019594029099E-5</v>
      </c>
      <c r="E2" s="1">
        <v>1.3680746389313099E-4</v>
      </c>
      <c r="F2" s="1">
        <v>2.8958485334552302</v>
      </c>
      <c r="G2" s="1">
        <v>40.2640038402795</v>
      </c>
      <c r="H2" s="1">
        <v>6.2030213263042496E-4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12</v>
      </c>
      <c r="B3" s="1">
        <v>0.107767689685955</v>
      </c>
      <c r="C3" s="1">
        <v>1.6249358237031899</v>
      </c>
      <c r="D3" s="1">
        <v>2.65503659875305E-4</v>
      </c>
      <c r="E3" s="1">
        <v>1.08117832211795E-4</v>
      </c>
      <c r="F3" s="1">
        <v>2.8952338587180302</v>
      </c>
      <c r="G3" s="1">
        <v>41.1893708618544</v>
      </c>
      <c r="H3" s="1">
        <v>7.5220889368145E-4</v>
      </c>
      <c r="L3" s="1"/>
    </row>
    <row r="4" spans="1:20" ht="42.75">
      <c r="A4" s="1" t="s">
        <v>13</v>
      </c>
      <c r="B4" s="1">
        <v>0.1085661885666</v>
      </c>
      <c r="C4" s="1">
        <v>1.6245069740189599</v>
      </c>
      <c r="D4" s="1">
        <v>5.4432061752353301E-4</v>
      </c>
      <c r="E4" s="2">
        <v>7.9107965907056595E-5</v>
      </c>
      <c r="F4" s="1">
        <v>3.1065289929962199</v>
      </c>
      <c r="G4" s="1">
        <v>42.1504244181559</v>
      </c>
      <c r="H4" s="1">
        <v>1.14168097877784E-3</v>
      </c>
    </row>
    <row r="5" spans="1:20" ht="42.75">
      <c r="A5" s="1" t="s">
        <v>14</v>
      </c>
      <c r="B5" s="1">
        <v>0.107813849166461</v>
      </c>
      <c r="C5" s="1">
        <v>1.62601974137552</v>
      </c>
      <c r="D5" s="1">
        <v>3.12689279115181E-4</v>
      </c>
      <c r="E5" s="1">
        <v>1.1775189892077999E-4</v>
      </c>
      <c r="F5" s="1">
        <v>2.6475533105943301</v>
      </c>
      <c r="G5" s="1">
        <v>41.629912012557199</v>
      </c>
      <c r="H5" s="1">
        <v>5.80759086709055E-4</v>
      </c>
    </row>
    <row r="6" spans="1:20" ht="42.75">
      <c r="A6" s="1" t="s">
        <v>15</v>
      </c>
      <c r="B6" s="1">
        <v>0.10768118552928301</v>
      </c>
      <c r="C6" s="1">
        <v>1.6255265789138</v>
      </c>
      <c r="D6" s="1">
        <v>7.13789756887186E-4</v>
      </c>
      <c r="E6" s="2">
        <v>4.28245980683294E-5</v>
      </c>
      <c r="F6" s="1">
        <v>2.64429438218446</v>
      </c>
      <c r="G6" s="1">
        <v>41.142942912964003</v>
      </c>
      <c r="H6" s="1">
        <v>7.5220751031553697E-4</v>
      </c>
    </row>
    <row r="7" spans="1:20" ht="42.75">
      <c r="A7" s="1" t="s">
        <v>16</v>
      </c>
      <c r="B7" s="1">
        <v>0.10798815957236201</v>
      </c>
      <c r="C7" s="1">
        <v>1.6255816549345901</v>
      </c>
      <c r="D7" s="1">
        <v>7.9880168566006E-4</v>
      </c>
      <c r="E7" s="2">
        <v>3.1242256552500798E-5</v>
      </c>
      <c r="F7" s="1">
        <v>2.6457065423386599</v>
      </c>
      <c r="G7" s="1">
        <v>41.855263179843597</v>
      </c>
      <c r="H7" s="1">
        <v>7.5608917501536498E-4</v>
      </c>
    </row>
    <row r="8" spans="1:20" ht="42.75">
      <c r="A8" s="1" t="s">
        <v>17</v>
      </c>
      <c r="B8" s="1">
        <v>0.10796561723725399</v>
      </c>
      <c r="C8" s="1">
        <v>1.62551201595841</v>
      </c>
      <c r="D8" s="1">
        <v>8.9198395010325101E-4</v>
      </c>
      <c r="E8" s="2">
        <v>9.8714506108644594E-6</v>
      </c>
      <c r="F8" s="1">
        <v>2.6461111796097501</v>
      </c>
      <c r="G8" s="1">
        <v>41.107368392771399</v>
      </c>
      <c r="H8" s="1">
        <v>7.5220762983235496E-4</v>
      </c>
    </row>
    <row r="9" spans="1:20" ht="42.75">
      <c r="A9" s="1" t="s">
        <v>18</v>
      </c>
      <c r="B9" s="1">
        <v>0.107310696139959</v>
      </c>
      <c r="C9" s="1">
        <v>1.6256390914637899</v>
      </c>
      <c r="D9" s="1">
        <v>7.8449042525009804E-4</v>
      </c>
      <c r="E9" s="2">
        <v>2.3642404363777402E-5</v>
      </c>
      <c r="F9" s="1">
        <v>2.6064209221097299</v>
      </c>
      <c r="G9" s="1">
        <v>41.0507646787092</v>
      </c>
      <c r="H9" s="1">
        <v>7.5220672203154203E-4</v>
      </c>
    </row>
    <row r="10" spans="1:20" ht="42.75">
      <c r="A10" s="1" t="s">
        <v>19</v>
      </c>
      <c r="B10" s="1">
        <v>0.107235378128852</v>
      </c>
      <c r="C10" s="1">
        <v>1.6253041511213999</v>
      </c>
      <c r="D10" s="1">
        <v>7.5546040309111204E-4</v>
      </c>
      <c r="E10" s="2">
        <v>4.5526386459295999E-5</v>
      </c>
      <c r="F10" s="1">
        <v>2.6453095573124399</v>
      </c>
      <c r="G10" s="1">
        <v>41.7438006770927</v>
      </c>
      <c r="H10" s="1">
        <v>6.6053362679605195E-4</v>
      </c>
    </row>
    <row r="11" spans="1:20" ht="42.75">
      <c r="A11" s="1" t="s">
        <v>20</v>
      </c>
      <c r="B11" s="1">
        <v>0.107380313151722</v>
      </c>
      <c r="C11" s="1">
        <v>1.6257007213976</v>
      </c>
      <c r="D11" s="1">
        <v>6.57715479899309E-4</v>
      </c>
      <c r="E11" s="2">
        <v>4.6015841407316202E-5</v>
      </c>
      <c r="F11" s="1">
        <v>2.6449212985361199</v>
      </c>
      <c r="G11" s="1">
        <v>41.828803030264503</v>
      </c>
      <c r="H11" s="1">
        <v>7.0223059968995501E-4</v>
      </c>
    </row>
    <row r="12" spans="1:20" ht="42.75">
      <c r="A12" s="1" t="s">
        <v>21</v>
      </c>
      <c r="B12" s="1">
        <v>0.107499657333732</v>
      </c>
      <c r="C12" s="1">
        <v>1.62546584925452</v>
      </c>
      <c r="D12" s="1">
        <v>7.9944967743830601E-4</v>
      </c>
      <c r="E12" s="2">
        <v>4.0531543291343298E-5</v>
      </c>
      <c r="F12" s="1">
        <v>2.6460147362636</v>
      </c>
      <c r="G12" s="1">
        <v>41.049688076482802</v>
      </c>
      <c r="H12" s="1">
        <v>7.5220981695020301E-4</v>
      </c>
    </row>
    <row r="13" spans="1:20" ht="42.75">
      <c r="A13" s="1" t="s">
        <v>22</v>
      </c>
      <c r="B13" s="1">
        <v>0.107395325995434</v>
      </c>
      <c r="C13" s="1">
        <v>1.6252953547019899</v>
      </c>
      <c r="D13" s="1">
        <v>9.2135028947635199E-4</v>
      </c>
      <c r="E13" s="2">
        <v>1.31936681692726E-5</v>
      </c>
      <c r="F13" s="1">
        <v>2.6447335173711202</v>
      </c>
      <c r="G13" s="1">
        <v>41.886883193947803</v>
      </c>
      <c r="H13" s="1">
        <v>8.93619892199126E-4</v>
      </c>
    </row>
    <row r="14" spans="1:20" ht="42.75">
      <c r="A14" s="1" t="s">
        <v>23</v>
      </c>
      <c r="B14" s="1">
        <v>0.107617315330632</v>
      </c>
      <c r="C14" s="1">
        <v>1.6245182577871</v>
      </c>
      <c r="D14" s="1">
        <v>7.8727227926450995E-4</v>
      </c>
      <c r="E14" s="2">
        <v>3.6398474751521E-5</v>
      </c>
      <c r="F14" s="1">
        <v>2.64605084777862</v>
      </c>
      <c r="G14" s="1">
        <v>41.135540286681099</v>
      </c>
      <c r="H14" s="1">
        <v>5.7956493201096295E-4</v>
      </c>
    </row>
    <row r="15" spans="1:20" ht="42.75">
      <c r="A15" s="1" t="s">
        <v>24</v>
      </c>
      <c r="B15" s="1">
        <v>0.107631821742582</v>
      </c>
      <c r="C15" s="1">
        <v>1.62302582925359</v>
      </c>
      <c r="D15" s="1">
        <v>8.5851217248257095E-4</v>
      </c>
      <c r="E15" s="2">
        <v>3.2978249826565998E-5</v>
      </c>
      <c r="F15" s="1">
        <v>2.64581349028653</v>
      </c>
      <c r="G15" s="1">
        <v>40.656111454703101</v>
      </c>
      <c r="H15" s="1">
        <v>5.9434649936729203E-4</v>
      </c>
    </row>
    <row r="16" spans="1:20" ht="42.75">
      <c r="A16" s="1" t="s">
        <v>25</v>
      </c>
      <c r="B16" s="1">
        <v>0.107773221003444</v>
      </c>
      <c r="C16" s="1">
        <v>1.6228942675268201</v>
      </c>
      <c r="D16" s="1">
        <v>1.0247013497566601E-3</v>
      </c>
      <c r="E16" s="2">
        <v>8.8334409501128998E-6</v>
      </c>
      <c r="F16" s="1">
        <v>2.6444357745403302</v>
      </c>
      <c r="G16" s="1">
        <v>41.679491453630597</v>
      </c>
      <c r="H16" s="1">
        <v>1.1315730983676401E-3</v>
      </c>
    </row>
    <row r="17" spans="1:8" ht="42.75">
      <c r="A17" s="1" t="s">
        <v>26</v>
      </c>
      <c r="B17" s="1">
        <v>0.108054680115061</v>
      </c>
      <c r="C17" s="1">
        <v>1.62367779985697</v>
      </c>
      <c r="D17" s="1">
        <v>1.1336177149013E-3</v>
      </c>
      <c r="E17" s="2">
        <v>-1.03487801371989E-5</v>
      </c>
      <c r="F17" s="1">
        <v>2.3956198737559999</v>
      </c>
      <c r="G17" s="1">
        <v>41.611966167156297</v>
      </c>
      <c r="H17" s="1">
        <v>6.4948537660913395E-4</v>
      </c>
    </row>
    <row r="18" spans="1:8" ht="42.75">
      <c r="A18" s="1" t="s">
        <v>27</v>
      </c>
      <c r="B18" s="1">
        <v>0.108470442647848</v>
      </c>
      <c r="C18" s="1">
        <v>1.6238014848100799</v>
      </c>
      <c r="D18" s="1">
        <v>1.2230760182854899E-3</v>
      </c>
      <c r="E18" s="2">
        <v>-4.7389435126653299E-5</v>
      </c>
      <c r="F18" s="1">
        <v>2.6467168650612498</v>
      </c>
      <c r="G18" s="1">
        <v>41.896587987747097</v>
      </c>
      <c r="H18" s="1">
        <v>1.1320425640195099E-3</v>
      </c>
    </row>
    <row r="19" spans="1:8" ht="42.75">
      <c r="A19" s="1" t="s">
        <v>28</v>
      </c>
      <c r="B19" s="1">
        <v>0.108306765636387</v>
      </c>
      <c r="C19" s="1">
        <v>1.6234064574068501</v>
      </c>
      <c r="D19" s="1">
        <v>1.03520161024099E-3</v>
      </c>
      <c r="E19" s="2">
        <v>1.1224088142636001E-6</v>
      </c>
      <c r="F19" s="1">
        <v>2.6464563920608799</v>
      </c>
      <c r="G19" s="1">
        <v>40.901289089830797</v>
      </c>
      <c r="H19" s="1">
        <v>7.5220828627167301E-4</v>
      </c>
    </row>
    <row r="20" spans="1:8" ht="42.75">
      <c r="A20" s="1" t="s">
        <v>29</v>
      </c>
      <c r="B20" s="1">
        <v>0.10817681982411</v>
      </c>
      <c r="C20" s="1">
        <v>1.62377726407787</v>
      </c>
      <c r="D20" s="1">
        <v>1.25968570309516E-3</v>
      </c>
      <c r="E20" s="2">
        <v>-2.2156345038941499E-5</v>
      </c>
      <c r="F20" s="1">
        <v>2.6442350670036201</v>
      </c>
      <c r="G20" s="1">
        <v>40.889269163850102</v>
      </c>
      <c r="H20" s="1">
        <v>7.52206885313714E-4</v>
      </c>
    </row>
    <row r="21" spans="1:8" ht="42.75">
      <c r="A21" s="1" t="s">
        <v>30</v>
      </c>
      <c r="B21" s="1">
        <v>0.107850584510117</v>
      </c>
      <c r="C21" s="1">
        <v>1.6240565782905501</v>
      </c>
      <c r="D21" s="1">
        <v>9.9407089479642196E-4</v>
      </c>
      <c r="E21" s="2">
        <v>1.20449041040017E-5</v>
      </c>
      <c r="F21" s="1">
        <v>2.6478975169047199</v>
      </c>
      <c r="G21" s="1">
        <v>40.593800496347903</v>
      </c>
      <c r="H21" s="1">
        <v>6.6843524962969603E-4</v>
      </c>
    </row>
    <row r="22" spans="1:8" ht="42.75">
      <c r="A22" s="1" t="s">
        <v>31</v>
      </c>
      <c r="B22" s="1">
        <v>0.108220094487482</v>
      </c>
      <c r="C22" s="1">
        <v>1.6239961691654601</v>
      </c>
      <c r="D22" s="1">
        <v>1.03690710788844E-3</v>
      </c>
      <c r="E22" s="2">
        <v>-1.09974660525283E-6</v>
      </c>
      <c r="F22" s="1">
        <v>2.6461886383531898</v>
      </c>
      <c r="G22" s="1">
        <v>40.925882036729199</v>
      </c>
      <c r="H22" s="1">
        <v>7.5220948797134095E-4</v>
      </c>
    </row>
    <row r="23" spans="1:8" ht="42.75">
      <c r="A23" s="1" t="s">
        <v>32</v>
      </c>
      <c r="B23" s="1">
        <v>0.107772509976481</v>
      </c>
      <c r="C23" s="1">
        <v>1.6251146986004401</v>
      </c>
      <c r="D23" s="1">
        <v>1.01896335528417E-3</v>
      </c>
      <c r="E23" s="2">
        <v>1.0348276531822001E-5</v>
      </c>
      <c r="F23" s="1">
        <v>2.3562108726532398</v>
      </c>
      <c r="G23" s="1">
        <v>39.922580179559702</v>
      </c>
      <c r="H23" s="1">
        <v>5.7871129073961899E-4</v>
      </c>
    </row>
    <row r="24" spans="1:8" ht="42.75">
      <c r="A24" s="1" t="s">
        <v>33</v>
      </c>
      <c r="B24" s="1">
        <v>0.108972267405539</v>
      </c>
      <c r="C24" s="1">
        <v>1.62396953112003</v>
      </c>
      <c r="D24" s="1">
        <v>1.7911362479787001E-3</v>
      </c>
      <c r="E24" s="1">
        <v>-1.0787190975694701E-4</v>
      </c>
      <c r="F24" s="1">
        <v>2.6521304066129399</v>
      </c>
      <c r="G24" s="1">
        <v>41.933413631928701</v>
      </c>
      <c r="H24" s="1">
        <v>1.1289889289675E-3</v>
      </c>
    </row>
    <row r="25" spans="1:8" ht="42.75">
      <c r="A25" s="1" t="s">
        <v>34</v>
      </c>
      <c r="B25" s="1">
        <v>0.107940873985824</v>
      </c>
      <c r="C25" s="1">
        <v>1.6241066273141</v>
      </c>
      <c r="D25" s="1">
        <v>1.0354430717224401E-3</v>
      </c>
      <c r="E25" s="2">
        <v>7.3904364256341599E-6</v>
      </c>
      <c r="F25" s="1">
        <v>2.39688264160614</v>
      </c>
      <c r="G25" s="1">
        <v>39.964110004210902</v>
      </c>
      <c r="H25" s="1">
        <v>6.36780711088425E-4</v>
      </c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2"/>
      <c r="E27" s="2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4"/>
  <sheetViews>
    <sheetView tabSelected="1" topLeftCell="A22" workbookViewId="0">
      <selection activeCell="A2" sqref="A2:C25"/>
    </sheetView>
  </sheetViews>
  <sheetFormatPr defaultRowHeight="14.25"/>
  <sheetData>
    <row r="1" spans="1:7">
      <c r="A1" s="1" t="s">
        <v>0</v>
      </c>
      <c r="B1" s="1" t="s">
        <v>4</v>
      </c>
      <c r="C1" s="1" t="s">
        <v>4</v>
      </c>
    </row>
    <row r="2" spans="1:7" ht="42.75">
      <c r="A2" s="1" t="s">
        <v>11</v>
      </c>
      <c r="B2" s="1">
        <v>5.2401573655099698</v>
      </c>
      <c r="C2" s="1">
        <v>0.10788210556906901</v>
      </c>
      <c r="F2">
        <v>894</v>
      </c>
      <c r="G2">
        <v>456</v>
      </c>
    </row>
    <row r="3" spans="1:7" ht="42.75">
      <c r="A3" s="1" t="s">
        <v>12</v>
      </c>
      <c r="B3" s="1">
        <v>5.2402095305102501</v>
      </c>
      <c r="C3" s="1">
        <v>0.107767689685955</v>
      </c>
      <c r="E3" t="s">
        <v>1</v>
      </c>
      <c r="F3">
        <f>AVERAGE(B2:B31)</f>
        <v>5.2424396194701153</v>
      </c>
      <c r="G3">
        <f>AVERAGE(C2:C31)</f>
        <v>0.10788639844759125</v>
      </c>
    </row>
    <row r="4" spans="1:7" ht="42.75">
      <c r="A4" s="1" t="s">
        <v>13</v>
      </c>
      <c r="B4" s="1">
        <v>5.2325481598897898</v>
      </c>
      <c r="C4" s="1">
        <v>0.1085661885666</v>
      </c>
      <c r="E4" t="s">
        <v>2</v>
      </c>
      <c r="F4">
        <f>_xlfn.STDEV.S(B2:B32)</f>
        <v>1.6814604961087613E-2</v>
      </c>
      <c r="G4">
        <f>_xlfn.STDEV.S(C2:C32)</f>
        <v>4.18616985875993E-4</v>
      </c>
    </row>
    <row r="5" spans="1:7" ht="42.75">
      <c r="A5" s="1" t="s">
        <v>14</v>
      </c>
      <c r="B5" s="1">
        <v>5.2632048700287699</v>
      </c>
      <c r="C5" s="1">
        <v>0.107813849166461</v>
      </c>
      <c r="E5" t="s">
        <v>3</v>
      </c>
      <c r="F5">
        <f>F4/F3/SQRT(COUNT(B2:B32))</f>
        <v>6.5470794405478035E-4</v>
      </c>
      <c r="G5">
        <f>G4/G3/SQRT(COUNT(C2:C32))</f>
        <v>7.9203528573635901E-4</v>
      </c>
    </row>
    <row r="6" spans="1:7" ht="42.75">
      <c r="A6" s="1" t="s">
        <v>15</v>
      </c>
      <c r="B6" s="1">
        <v>5.2341542225512701</v>
      </c>
      <c r="C6" s="1">
        <v>0.10768118552928301</v>
      </c>
    </row>
    <row r="7" spans="1:7" ht="42.75">
      <c r="A7" s="1" t="s">
        <v>16</v>
      </c>
      <c r="B7" s="1">
        <v>5.2499074678307798</v>
      </c>
      <c r="C7" s="1">
        <v>0.10798815957236201</v>
      </c>
    </row>
    <row r="8" spans="1:7" ht="42.75">
      <c r="A8" s="1" t="s">
        <v>17</v>
      </c>
      <c r="B8" s="1">
        <v>5.2609478156281302</v>
      </c>
      <c r="C8" s="1">
        <v>0.10796561723725399</v>
      </c>
    </row>
    <row r="9" spans="1:7" ht="42.75">
      <c r="A9" s="1" t="s">
        <v>18</v>
      </c>
      <c r="B9" s="1">
        <v>5.2522638411999596</v>
      </c>
      <c r="C9" s="1">
        <v>0.107310696139959</v>
      </c>
    </row>
    <row r="10" spans="1:7" ht="42.75">
      <c r="A10" s="1" t="s">
        <v>19</v>
      </c>
      <c r="B10" s="1">
        <v>5.2381148673874796</v>
      </c>
      <c r="C10" s="1">
        <v>0.107235378128852</v>
      </c>
    </row>
    <row r="11" spans="1:7" ht="42.75">
      <c r="A11" s="1" t="s">
        <v>20</v>
      </c>
      <c r="B11" s="1">
        <v>5.2236574261532196</v>
      </c>
      <c r="C11" s="1">
        <v>0.107380313151722</v>
      </c>
    </row>
    <row r="12" spans="1:7" ht="42.75">
      <c r="A12" s="1" t="s">
        <v>21</v>
      </c>
      <c r="B12" s="1">
        <v>5.2262449444555799</v>
      </c>
      <c r="C12" s="1">
        <v>0.107499657333732</v>
      </c>
    </row>
    <row r="13" spans="1:7" ht="42.75">
      <c r="A13" s="1" t="s">
        <v>22</v>
      </c>
      <c r="B13" s="1">
        <v>5.2457271314303799</v>
      </c>
      <c r="C13" s="1">
        <v>0.107395325995434</v>
      </c>
    </row>
    <row r="14" spans="1:7" ht="42.75">
      <c r="A14" s="1" t="s">
        <v>23</v>
      </c>
      <c r="B14" s="1">
        <v>5.2597760818477397</v>
      </c>
      <c r="C14" s="1">
        <v>0.107617315330632</v>
      </c>
    </row>
    <row r="15" spans="1:7" ht="42.75">
      <c r="A15" s="1" t="s">
        <v>24</v>
      </c>
      <c r="B15" s="1">
        <v>5.2273625593786797</v>
      </c>
      <c r="C15" s="1">
        <v>0.107631821742582</v>
      </c>
    </row>
    <row r="16" spans="1:7" ht="42.75">
      <c r="A16" s="1" t="s">
        <v>25</v>
      </c>
      <c r="B16" s="1">
        <v>5.2281725990355099</v>
      </c>
      <c r="C16" s="1">
        <v>0.107773221003444</v>
      </c>
    </row>
    <row r="17" spans="1:3" ht="42.75">
      <c r="A17" s="1" t="s">
        <v>26</v>
      </c>
      <c r="B17" s="1">
        <v>5.2464873820867899</v>
      </c>
      <c r="C17" s="1">
        <v>0.108054680115061</v>
      </c>
    </row>
    <row r="18" spans="1:3" ht="42.75">
      <c r="A18" s="1" t="s">
        <v>27</v>
      </c>
      <c r="B18" s="1">
        <v>5.2357499987829099</v>
      </c>
      <c r="C18" s="1">
        <v>0.108470442647848</v>
      </c>
    </row>
    <row r="19" spans="1:3" ht="42.75">
      <c r="A19" s="1" t="s">
        <v>28</v>
      </c>
      <c r="B19" s="1">
        <v>5.2426137496126399</v>
      </c>
      <c r="C19" s="1">
        <v>0.108306765636387</v>
      </c>
    </row>
    <row r="20" spans="1:3" ht="42.75">
      <c r="A20" s="1" t="s">
        <v>29</v>
      </c>
      <c r="B20" s="1">
        <v>5.25389374708476</v>
      </c>
      <c r="C20" s="1">
        <v>0.10817681982411</v>
      </c>
    </row>
    <row r="21" spans="1:3" ht="42.75">
      <c r="A21" s="1" t="s">
        <v>30</v>
      </c>
      <c r="B21" s="1">
        <v>5.2452132048918996</v>
      </c>
      <c r="C21" s="1">
        <v>0.107850584510117</v>
      </c>
    </row>
    <row r="22" spans="1:3" ht="42.75">
      <c r="A22" s="1" t="s">
        <v>31</v>
      </c>
      <c r="B22" s="1">
        <v>5.2477036957110901</v>
      </c>
      <c r="C22" s="1">
        <v>0.108220094487482</v>
      </c>
    </row>
    <row r="23" spans="1:3" ht="42.75">
      <c r="A23" s="1" t="s">
        <v>32</v>
      </c>
      <c r="B23" s="1">
        <v>5.1912280334424699</v>
      </c>
      <c r="C23" s="1">
        <v>0.107772509976481</v>
      </c>
    </row>
    <row r="24" spans="1:3" ht="42.75">
      <c r="A24" s="1" t="s">
        <v>33</v>
      </c>
      <c r="B24" s="1">
        <v>5.2649162726060403</v>
      </c>
      <c r="C24" s="1">
        <v>0.108972267405539</v>
      </c>
    </row>
    <row r="25" spans="1:3" ht="42.75">
      <c r="A25" s="1" t="s">
        <v>34</v>
      </c>
      <c r="B25" s="1">
        <v>5.2682959002266401</v>
      </c>
      <c r="C25" s="1">
        <v>0.107940873985824</v>
      </c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2026-07-16T22:21:35Z</dcterms:modified>
</cp:coreProperties>
</file>