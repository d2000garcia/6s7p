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F1=4\Jul14,2026\"/>
    </mc:Choice>
  </mc:AlternateContent>
  <xr:revisionPtr revIDLastSave="0" documentId="13_ncr:1_{F2E71BBA-38D1-4AE4-8B46-0C93958E726B}" xr6:coauthVersionLast="47" xr6:coauthVersionMax="47" xr10:uidLastSave="{00000000-0000-0000-0000-000000000000}"/>
  <bookViews>
    <workbookView xWindow="-120" yWindow="-120" windowWidth="29040" windowHeight="15720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3" l="1"/>
  <c r="H5" i="3"/>
  <c r="H6" i="3" s="1"/>
  <c r="G4" i="3" l="1"/>
  <c r="G5" i="3"/>
  <c r="G6" i="3" l="1"/>
</calcChain>
</file>

<file path=xl/sharedStrings.xml><?xml version="1.0" encoding="utf-8"?>
<sst xmlns="http://schemas.openxmlformats.org/spreadsheetml/2006/main" count="88" uniqueCount="33">
  <si>
    <t>Date</t>
  </si>
  <si>
    <t>Mean</t>
  </si>
  <si>
    <t>STD</t>
  </si>
  <si>
    <t>Mean/std/sqrt(n)</t>
  </si>
  <si>
    <t>Alpha</t>
  </si>
  <si>
    <t>P0</t>
  </si>
  <si>
    <t>h1</t>
  </si>
  <si>
    <t>mv</t>
  </si>
  <si>
    <t>T</t>
  </si>
  <si>
    <t>gamma</t>
  </si>
  <si>
    <t>offset</t>
  </si>
  <si>
    <t>Jul14,2026+12-14-44PM</t>
  </si>
  <si>
    <t>Jul14,2026+12-26-20PM</t>
  </si>
  <si>
    <t>Jul14,2026+12-34-37PM</t>
  </si>
  <si>
    <t>Jul14,2026+12-45-58PM</t>
  </si>
  <si>
    <t>Jul14,2026+12-55-14PM</t>
  </si>
  <si>
    <t>Jul14,2026+2-38-28PM</t>
  </si>
  <si>
    <t>Jul14,2026+2-48-47PM</t>
  </si>
  <si>
    <t>Jul14,2026+2-57-45PM</t>
  </si>
  <si>
    <t>Jul14,2026+3-05-52PM</t>
  </si>
  <si>
    <t>Jul14,2026+3-18-29PM</t>
  </si>
  <si>
    <t>Jul14,2026+3-41-29PM</t>
  </si>
  <si>
    <t>Jul14,2026+4-11-34PM</t>
  </si>
  <si>
    <t>Jul14,2026+4-20-19PM</t>
  </si>
  <si>
    <t>Jul14,2026+4-29-37PM</t>
  </si>
  <si>
    <t>Jul14,2026+5-02-47PM</t>
  </si>
  <si>
    <t>Jul14,2026+5-11-12PM</t>
  </si>
  <si>
    <t>Jul14,2026+5-24-44PM</t>
  </si>
  <si>
    <t>Jul14,2026+5-32-49PM</t>
  </si>
  <si>
    <t>Jul14,2026+5-40-48PM</t>
  </si>
  <si>
    <t>Jul14,2026+5-56-32PM</t>
  </si>
  <si>
    <t>Jul14,2026+6-06-06PM</t>
  </si>
  <si>
    <t>Jul14,2026+6-16-24PM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</si>
</sst>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V36"/>
  <sheetViews>
    <sheetView workbookViewId="0">
      <selection sqref="A1:B1048576"/>
    </sheetView>
  </sheetViews>
  <sheetFormatPr defaultRowHeight="14.25"/>
  <sheetData>
    <row r="1" spans="1:22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2" ht="42.75">
      <c r="A2" s="1" t="s">
        <v>11</v>
      </c>
      <c r="B2" s="1">
        <v>5.2258479562069899</v>
      </c>
      <c r="C2" s="1">
        <v>1.34756239334334</v>
      </c>
      <c r="D2" s="1">
        <v>-4.1202949307807303E-3</v>
      </c>
      <c r="E2" s="1">
        <v>2.3334419065426202</v>
      </c>
      <c r="F2" s="1">
        <v>40.084885444947702</v>
      </c>
      <c r="G2" s="1">
        <v>2.6795230992992E-3</v>
      </c>
      <c r="H2" s="1"/>
      <c r="L2" s="1"/>
      <c r="M2" s="1"/>
      <c r="U2" s="1"/>
    </row>
    <row r="3" spans="1:22" ht="42.75">
      <c r="A3" s="1" t="s">
        <v>12</v>
      </c>
      <c r="B3" s="1">
        <v>5.1321123174082999</v>
      </c>
      <c r="C3" s="1">
        <v>1.3504454216406501</v>
      </c>
      <c r="D3" s="1">
        <v>-4.3970134978864699E-3</v>
      </c>
      <c r="E3" s="1">
        <v>2.4284372279551301</v>
      </c>
      <c r="F3" s="1">
        <v>40.135612797162302</v>
      </c>
      <c r="G3" s="1">
        <v>2.6726107884433E-3</v>
      </c>
      <c r="H3" s="1"/>
      <c r="U3" s="1"/>
      <c r="V3" s="1"/>
    </row>
    <row r="4" spans="1:22" ht="42.75">
      <c r="A4" s="1" t="s">
        <v>13</v>
      </c>
      <c r="B4" s="1">
        <v>5.2437157298636796</v>
      </c>
      <c r="C4" s="1">
        <v>1.3483779641392899</v>
      </c>
      <c r="D4" s="1">
        <v>-4.8780662956347601E-3</v>
      </c>
      <c r="E4" s="1">
        <v>2.3258369007276198</v>
      </c>
      <c r="F4" s="1">
        <v>40.776330722197102</v>
      </c>
      <c r="G4" s="1">
        <v>2.30344629504721E-3</v>
      </c>
      <c r="H4" s="1"/>
      <c r="U4" s="1"/>
    </row>
    <row r="5" spans="1:22" ht="42.75">
      <c r="A5" s="1" t="s">
        <v>14</v>
      </c>
      <c r="B5" s="1">
        <v>5.2504871284328898</v>
      </c>
      <c r="C5" s="1">
        <v>1.35107716994799</v>
      </c>
      <c r="D5" s="1">
        <v>-4.3735124750191702E-3</v>
      </c>
      <c r="E5" s="1">
        <v>2.3247793755482999</v>
      </c>
      <c r="F5" s="1">
        <v>40.073970870005901</v>
      </c>
      <c r="G5" s="1">
        <v>2.7397162813720599E-3</v>
      </c>
      <c r="H5" s="1"/>
      <c r="U5" s="1"/>
    </row>
    <row r="6" spans="1:22" ht="42.75">
      <c r="A6" s="1" t="s">
        <v>15</v>
      </c>
      <c r="B6" s="1">
        <v>5.2503356968257</v>
      </c>
      <c r="C6" s="1">
        <v>1.3497493578500901</v>
      </c>
      <c r="D6" s="1">
        <v>-4.5864204998870501E-3</v>
      </c>
      <c r="E6" s="1">
        <v>2.3258934372740598</v>
      </c>
      <c r="F6" s="1">
        <v>40.4157775231484</v>
      </c>
      <c r="G6" s="1">
        <v>2.98532119962026E-3</v>
      </c>
      <c r="H6" s="1"/>
      <c r="U6" s="1"/>
    </row>
    <row r="7" spans="1:22" ht="42.75">
      <c r="A7" s="1" t="s">
        <v>16</v>
      </c>
      <c r="B7" s="1">
        <v>5.2336543988027202</v>
      </c>
      <c r="C7" s="1">
        <v>1.35371682386295</v>
      </c>
      <c r="D7" s="1">
        <v>-4.8141668280780999E-3</v>
      </c>
      <c r="E7" s="1">
        <v>2.3252376714693499</v>
      </c>
      <c r="F7" s="1">
        <v>40.974838036547801</v>
      </c>
      <c r="G7" s="1">
        <v>2.5824347414956498E-3</v>
      </c>
      <c r="H7" s="1"/>
      <c r="U7" s="1"/>
    </row>
    <row r="8" spans="1:22" ht="42.75">
      <c r="A8" s="1" t="s">
        <v>17</v>
      </c>
      <c r="B8" s="1">
        <v>5.2591832551717097</v>
      </c>
      <c r="C8" s="1">
        <v>1.3504209482715399</v>
      </c>
      <c r="D8" s="1">
        <v>-4.5656459457066303E-3</v>
      </c>
      <c r="E8" s="1">
        <v>2.3249539588042398</v>
      </c>
      <c r="F8" s="1">
        <v>41.157876770391603</v>
      </c>
      <c r="G8" s="1">
        <v>2.9604667187736601E-3</v>
      </c>
      <c r="H8" s="1"/>
      <c r="U8" s="1"/>
    </row>
    <row r="9" spans="1:22" ht="42.75">
      <c r="A9" s="1" t="s">
        <v>18</v>
      </c>
      <c r="B9" s="1">
        <v>5.2469052817766597</v>
      </c>
      <c r="C9" s="1">
        <v>1.3527178270720901</v>
      </c>
      <c r="D9" s="1">
        <v>-4.5864856610969501E-3</v>
      </c>
      <c r="E9" s="1">
        <v>2.3257246614349598</v>
      </c>
      <c r="F9" s="1">
        <v>40.715585037959698</v>
      </c>
      <c r="G9" s="1">
        <v>2.3482982530259201E-3</v>
      </c>
      <c r="H9" s="1"/>
      <c r="U9" s="1"/>
    </row>
    <row r="10" spans="1:22" ht="42.75">
      <c r="A10" s="1" t="s">
        <v>19</v>
      </c>
      <c r="B10" s="1">
        <v>5.25892843081182</v>
      </c>
      <c r="C10" s="1">
        <v>1.3527569429538699</v>
      </c>
      <c r="D10" s="1">
        <v>-4.5743103512216601E-3</v>
      </c>
      <c r="E10" s="1">
        <v>2.3249975356069901</v>
      </c>
      <c r="F10" s="1">
        <v>40.164285800030697</v>
      </c>
      <c r="G10" s="1">
        <v>2.4680866961128002E-3</v>
      </c>
      <c r="H10" s="1"/>
      <c r="U10" s="1"/>
    </row>
    <row r="11" spans="1:22" ht="42.75">
      <c r="A11" s="1" t="s">
        <v>20</v>
      </c>
      <c r="B11" s="1">
        <v>5.21286007784256</v>
      </c>
      <c r="C11" s="1">
        <v>1.35350877886143</v>
      </c>
      <c r="D11" s="1">
        <v>-4.8381276304172204E-3</v>
      </c>
      <c r="E11" s="1">
        <v>2.3253596471987001</v>
      </c>
      <c r="F11" s="1">
        <v>40.191706537307397</v>
      </c>
      <c r="G11" s="1">
        <v>2.8392280330365701E-3</v>
      </c>
      <c r="H11" s="1"/>
      <c r="U11" s="1"/>
    </row>
    <row r="12" spans="1:22" ht="42.75">
      <c r="A12" s="1" t="s">
        <v>21</v>
      </c>
      <c r="B12" s="1">
        <v>5.2596778259212398</v>
      </c>
      <c r="C12" s="1">
        <v>1.35267912786656</v>
      </c>
      <c r="D12" s="1">
        <v>-4.60651997525872E-3</v>
      </c>
      <c r="E12" s="1">
        <v>2.1250512425747901</v>
      </c>
      <c r="F12" s="1">
        <v>40.699424015112498</v>
      </c>
      <c r="G12" s="1">
        <v>2.3549589586703101E-3</v>
      </c>
      <c r="H12" s="1"/>
      <c r="U12" s="1"/>
    </row>
    <row r="13" spans="1:22" ht="42.75">
      <c r="A13" s="1" t="s">
        <v>22</v>
      </c>
      <c r="B13" s="1">
        <v>5.2590212289624798</v>
      </c>
      <c r="C13" s="1">
        <v>1.3618573240827001</v>
      </c>
      <c r="D13" s="1">
        <v>-4.3465726154099504E-3</v>
      </c>
      <c r="E13" s="1">
        <v>2.1259888825890498</v>
      </c>
      <c r="F13" s="1">
        <v>40.2263956629616</v>
      </c>
      <c r="G13" s="1">
        <v>2.5716686179187201E-3</v>
      </c>
      <c r="H13" s="1"/>
      <c r="R13" s="1"/>
    </row>
    <row r="14" spans="1:22" ht="42.75">
      <c r="A14" s="1" t="s">
        <v>23</v>
      </c>
      <c r="B14" s="1">
        <v>5.2296998738747797</v>
      </c>
      <c r="C14" s="1">
        <v>1.36204681643966</v>
      </c>
      <c r="D14" s="1">
        <v>-4.1366359485380698E-3</v>
      </c>
      <c r="E14" s="1">
        <v>2.1261006730545202</v>
      </c>
      <c r="F14" s="1">
        <v>40.212608096589101</v>
      </c>
      <c r="G14" s="1">
        <v>2.8161388478867202E-3</v>
      </c>
      <c r="H14" s="1"/>
      <c r="R14" s="1"/>
    </row>
    <row r="15" spans="1:22" ht="42.75">
      <c r="A15" s="1" t="s">
        <v>24</v>
      </c>
      <c r="B15" s="1">
        <v>5.2667771366869696</v>
      </c>
      <c r="C15" s="1">
        <v>1.3639957002304299</v>
      </c>
      <c r="D15" s="1">
        <v>-5.4573113456013898E-3</v>
      </c>
      <c r="E15" s="1">
        <v>2.1249367064228202</v>
      </c>
      <c r="F15" s="1">
        <v>40.181756150158002</v>
      </c>
      <c r="G15" s="1">
        <v>3.2076484711157601E-3</v>
      </c>
      <c r="H15" s="1"/>
      <c r="R15" s="1"/>
    </row>
    <row r="16" spans="1:22" ht="42.75">
      <c r="A16" s="1" t="s">
        <v>25</v>
      </c>
      <c r="B16" s="1">
        <v>5.2271473404603404</v>
      </c>
      <c r="C16" s="1">
        <v>1.36682559394532</v>
      </c>
      <c r="D16" s="1">
        <v>-3.9993804864378703E-3</v>
      </c>
      <c r="E16" s="1">
        <v>2.1298798271334101</v>
      </c>
      <c r="F16" s="1">
        <v>40.171271102935997</v>
      </c>
      <c r="G16" s="1">
        <v>2.4202990282063499E-3</v>
      </c>
      <c r="H16" s="1"/>
      <c r="R16" s="1"/>
    </row>
    <row r="17" spans="1:8" ht="42.75">
      <c r="A17" s="1" t="s">
        <v>26</v>
      </c>
      <c r="B17" s="1">
        <v>5.2172814151544804</v>
      </c>
      <c r="C17" s="1">
        <v>1.36652793035779</v>
      </c>
      <c r="D17" s="1">
        <v>-3.85464021493972E-3</v>
      </c>
      <c r="E17" s="1">
        <v>2.1306830255534299</v>
      </c>
      <c r="F17" s="1">
        <v>40.448973461282897</v>
      </c>
      <c r="G17" s="1">
        <v>2.4786480346784198E-3</v>
      </c>
      <c r="H17" s="1"/>
    </row>
    <row r="18" spans="1:8" ht="42.75">
      <c r="A18" s="1" t="s">
        <v>27</v>
      </c>
      <c r="B18" s="1">
        <v>5.2026205255307998</v>
      </c>
      <c r="C18" s="1">
        <v>1.37292236778719</v>
      </c>
      <c r="D18" s="1">
        <v>-3.9552807573032499E-3</v>
      </c>
      <c r="E18" s="1">
        <v>2.1307787716231101</v>
      </c>
      <c r="F18" s="1">
        <v>40.0819223700069</v>
      </c>
      <c r="G18" s="1">
        <v>2.7160107710895399E-3</v>
      </c>
      <c r="H18" s="1"/>
    </row>
    <row r="19" spans="1:8" ht="42.75">
      <c r="A19" s="1" t="s">
        <v>28</v>
      </c>
      <c r="B19" s="1">
        <v>5.2088502809019603</v>
      </c>
      <c r="C19" s="1">
        <v>1.3720902699920301</v>
      </c>
      <c r="D19" s="1">
        <v>-3.6761850123674098E-3</v>
      </c>
      <c r="E19" s="1">
        <v>2.13065763836416</v>
      </c>
      <c r="F19" s="1">
        <v>40.934012953499597</v>
      </c>
      <c r="G19" s="1">
        <v>2.4094902706084599E-3</v>
      </c>
      <c r="H19" s="1"/>
    </row>
    <row r="20" spans="1:8" ht="42.75">
      <c r="A20" s="1" t="s">
        <v>29</v>
      </c>
      <c r="B20" s="1">
        <v>5.2306348705772896</v>
      </c>
      <c r="C20" s="1">
        <v>1.36116090533301</v>
      </c>
      <c r="D20" s="1">
        <v>-3.0317101219901198E-3</v>
      </c>
      <c r="E20" s="1">
        <v>2.1304343632026699</v>
      </c>
      <c r="F20" s="1">
        <v>40.0794464528975</v>
      </c>
      <c r="G20" s="1">
        <v>3.1322011346300999E-3</v>
      </c>
      <c r="H20" s="1"/>
    </row>
    <row r="21" spans="1:8" ht="42.75">
      <c r="A21" s="1" t="s">
        <v>30</v>
      </c>
      <c r="B21" s="1">
        <v>5.2252366536496302</v>
      </c>
      <c r="C21" s="1">
        <v>1.3641540184852501</v>
      </c>
      <c r="D21" s="1">
        <v>-4.4570133405452397E-3</v>
      </c>
      <c r="E21" s="1">
        <v>2.1308491316935001</v>
      </c>
      <c r="F21" s="1">
        <v>40.069310559058998</v>
      </c>
      <c r="G21" s="1">
        <v>3.0289919668232798E-3</v>
      </c>
      <c r="H21" s="1"/>
    </row>
    <row r="22" spans="1:8" ht="42.75">
      <c r="A22" s="1" t="s">
        <v>31</v>
      </c>
      <c r="B22" s="1">
        <v>5.2416884024595696</v>
      </c>
      <c r="C22" s="1">
        <v>1.36266337698179</v>
      </c>
      <c r="D22" s="1">
        <v>-4.5316297049560099E-3</v>
      </c>
      <c r="E22" s="1">
        <v>2.12994062337942</v>
      </c>
      <c r="F22" s="1">
        <v>40.014062390020797</v>
      </c>
      <c r="G22" s="1">
        <v>3.0786051314461299E-3</v>
      </c>
      <c r="H22" s="1"/>
    </row>
    <row r="23" spans="1:8" ht="42.75">
      <c r="A23" s="1" t="s">
        <v>32</v>
      </c>
      <c r="B23" s="1">
        <v>5.2293252887733699</v>
      </c>
      <c r="C23" s="1">
        <v>1.3624002953974199</v>
      </c>
      <c r="D23" s="1">
        <v>-3.8258207655278201E-3</v>
      </c>
      <c r="E23" s="1">
        <v>2.1309265811011802</v>
      </c>
      <c r="F23" s="1">
        <v>40.023505384878298</v>
      </c>
      <c r="G23" s="1">
        <v>2.8238542042305398E-3</v>
      </c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T37"/>
  <sheetViews>
    <sheetView topLeftCell="A11" zoomScale="99" zoomScaleNormal="99" workbookViewId="0">
      <selection sqref="A1:B23"/>
    </sheetView>
  </sheetViews>
  <sheetFormatPr defaultRowHeight="14.25"/>
  <sheetData>
    <row r="1" spans="1:20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  <c r="L1" s="1"/>
      <c r="M1" s="1"/>
      <c r="N1" s="1"/>
      <c r="O1" s="1"/>
      <c r="P1" s="1"/>
      <c r="Q1" s="1"/>
      <c r="R1" s="1"/>
      <c r="S1" s="1"/>
      <c r="T1" s="1"/>
    </row>
    <row r="2" spans="1:20" ht="42.75">
      <c r="A2" s="1" t="s">
        <v>11</v>
      </c>
      <c r="B2" s="1">
        <v>8.4098670481367904E-2</v>
      </c>
      <c r="C2" s="1">
        <v>1.64478856225619</v>
      </c>
      <c r="D2" s="1">
        <v>3.64161951644183E-4</v>
      </c>
      <c r="E2" s="1">
        <v>-1.07092210740408E-4</v>
      </c>
      <c r="F2" s="1">
        <v>2.5953388866566098</v>
      </c>
      <c r="G2" s="1">
        <v>41.062704013428601</v>
      </c>
      <c r="H2" s="1">
        <v>7.5220928414246302E-4</v>
      </c>
      <c r="L2" s="1"/>
    </row>
    <row r="3" spans="1:20" ht="42.75">
      <c r="A3" s="1" t="s">
        <v>12</v>
      </c>
      <c r="B3" s="1">
        <v>8.3770582022428597E-2</v>
      </c>
      <c r="C3" s="1">
        <v>1.64375172643706</v>
      </c>
      <c r="D3" s="1">
        <v>6.4264841234899198E-4</v>
      </c>
      <c r="E3" s="1">
        <v>-1.17206953457526E-4</v>
      </c>
      <c r="F3" s="1">
        <v>2.5838341434076102</v>
      </c>
      <c r="G3" s="1">
        <v>40.094337592797203</v>
      </c>
      <c r="H3" s="1">
        <v>5.7932144340976902E-4</v>
      </c>
      <c r="L3" s="1"/>
    </row>
    <row r="4" spans="1:20" ht="42.75">
      <c r="A4" s="1" t="s">
        <v>13</v>
      </c>
      <c r="B4" s="1">
        <v>8.3930571430078399E-2</v>
      </c>
      <c r="C4" s="1">
        <v>1.6438518350140801</v>
      </c>
      <c r="D4" s="1">
        <v>5.2459095729422698E-4</v>
      </c>
      <c r="E4" s="1">
        <v>-1.064144168145E-4</v>
      </c>
      <c r="F4" s="1">
        <v>2.08570735335819</v>
      </c>
      <c r="G4" s="1">
        <v>41.0016955036198</v>
      </c>
      <c r="H4" s="1">
        <v>5.7949861781105396E-4</v>
      </c>
    </row>
    <row r="5" spans="1:20" ht="42.75">
      <c r="A5" s="1" t="s">
        <v>14</v>
      </c>
      <c r="B5" s="1">
        <v>8.4386871474939104E-2</v>
      </c>
      <c r="C5" s="1">
        <v>1.6438635171427001</v>
      </c>
      <c r="D5" s="1">
        <v>1.1949072038449601E-3</v>
      </c>
      <c r="E5" s="1">
        <v>-2.8096089493189098E-4</v>
      </c>
      <c r="F5" s="1">
        <v>2.3318018965723999</v>
      </c>
      <c r="G5" s="1">
        <v>41.103184008222101</v>
      </c>
      <c r="H5" s="1">
        <v>7.5220848675051997E-4</v>
      </c>
    </row>
    <row r="6" spans="1:20" ht="42.75">
      <c r="A6" s="1" t="s">
        <v>15</v>
      </c>
      <c r="B6" s="1">
        <v>8.3779094698236606E-2</v>
      </c>
      <c r="C6" s="1">
        <v>1.64360592658481</v>
      </c>
      <c r="D6" s="2">
        <v>4.0102241682057698E-5</v>
      </c>
      <c r="E6" s="2">
        <v>3.48406710711816E-5</v>
      </c>
      <c r="F6" s="1">
        <v>2.58639363333858</v>
      </c>
      <c r="G6" s="1">
        <v>40.0633165988096</v>
      </c>
      <c r="H6" s="1">
        <v>6.0220900707829296E-4</v>
      </c>
    </row>
    <row r="7" spans="1:20" ht="42.75">
      <c r="A7" s="1" t="s">
        <v>16</v>
      </c>
      <c r="B7" s="1">
        <v>8.4368245251587398E-2</v>
      </c>
      <c r="C7" s="1">
        <v>1.64549111708333</v>
      </c>
      <c r="D7" s="1">
        <v>8.3767737234240701E-4</v>
      </c>
      <c r="E7" s="1">
        <v>-1.15605532694043E-4</v>
      </c>
      <c r="F7" s="1">
        <v>2.0824996988656501</v>
      </c>
      <c r="G7" s="1">
        <v>41.121438530205303</v>
      </c>
      <c r="H7" s="1">
        <v>7.5220876002920795E-4</v>
      </c>
    </row>
    <row r="8" spans="1:20" ht="42.75">
      <c r="A8" s="1" t="s">
        <v>17</v>
      </c>
      <c r="B8" s="1">
        <v>8.4640740114124396E-2</v>
      </c>
      <c r="C8" s="1">
        <v>1.6451122453700899</v>
      </c>
      <c r="D8" s="1">
        <v>1.57682245400838E-3</v>
      </c>
      <c r="E8" s="1">
        <v>-2.5029787686810403E-4</v>
      </c>
      <c r="F8" s="1">
        <v>2.5849268307502302</v>
      </c>
      <c r="G8" s="1">
        <v>41.0552770964483</v>
      </c>
      <c r="H8" s="1">
        <v>1.1554586775848301E-3</v>
      </c>
    </row>
    <row r="9" spans="1:20" ht="42.75">
      <c r="A9" s="1" t="s">
        <v>18</v>
      </c>
      <c r="B9" s="1">
        <v>8.3819572528152295E-2</v>
      </c>
      <c r="C9" s="1">
        <v>1.64530569142216</v>
      </c>
      <c r="D9" s="1">
        <v>5.0073877493836698E-4</v>
      </c>
      <c r="E9" s="2">
        <v>-4.82624570468744E-5</v>
      </c>
      <c r="F9" s="1">
        <v>2.3344672337013499</v>
      </c>
      <c r="G9" s="1">
        <v>40.181528142376798</v>
      </c>
      <c r="H9" s="1">
        <v>5.9899589973342498E-4</v>
      </c>
    </row>
    <row r="10" spans="1:20" ht="42.75">
      <c r="A10" s="1" t="s">
        <v>19</v>
      </c>
      <c r="B10" s="1">
        <v>8.4298501986348195E-2</v>
      </c>
      <c r="C10" s="1">
        <v>1.64599711556128</v>
      </c>
      <c r="D10" s="1">
        <v>6.6044105162320701E-4</v>
      </c>
      <c r="E10" s="1">
        <v>-1.1395057196655E-4</v>
      </c>
      <c r="F10" s="1">
        <v>2.0443807307852402</v>
      </c>
      <c r="G10" s="1">
        <v>41.167858890003302</v>
      </c>
      <c r="H10" s="1">
        <v>7.5220890023862798E-4</v>
      </c>
    </row>
    <row r="11" spans="1:20" ht="42.75">
      <c r="A11" s="1" t="s">
        <v>20</v>
      </c>
      <c r="B11" s="1">
        <v>8.3749879844150901E-2</v>
      </c>
      <c r="C11" s="1">
        <v>1.64523333775044</v>
      </c>
      <c r="D11" s="1">
        <v>9.5475402057164805E-4</v>
      </c>
      <c r="E11" s="1">
        <v>-1.28546304102757E-4</v>
      </c>
      <c r="F11" s="1">
        <v>2.5845105893129001</v>
      </c>
      <c r="G11" s="1">
        <v>40.494313683786899</v>
      </c>
      <c r="H11" s="1">
        <v>5.9241636824247602E-4</v>
      </c>
    </row>
    <row r="12" spans="1:20" ht="42.75">
      <c r="A12" s="1" t="s">
        <v>21</v>
      </c>
      <c r="B12" s="1">
        <v>8.4288203419773597E-2</v>
      </c>
      <c r="C12" s="1">
        <v>1.64680033631321</v>
      </c>
      <c r="D12" s="1">
        <v>6.1358709855903796E-4</v>
      </c>
      <c r="E12" s="1">
        <v>-1.07580174048207E-4</v>
      </c>
      <c r="F12" s="1">
        <v>1.8349067635355301</v>
      </c>
      <c r="G12" s="1">
        <v>41.168176781999797</v>
      </c>
      <c r="H12" s="1">
        <v>7.5220903163623995E-4</v>
      </c>
    </row>
    <row r="13" spans="1:20" ht="42.75">
      <c r="A13" s="1" t="s">
        <v>22</v>
      </c>
      <c r="B13" s="1">
        <v>8.4433783424020706E-2</v>
      </c>
      <c r="C13" s="1">
        <v>1.6487901876461899</v>
      </c>
      <c r="D13" s="1">
        <v>5.6414786462253999E-4</v>
      </c>
      <c r="E13" s="1">
        <v>-1.6585793435037999E-4</v>
      </c>
      <c r="F13" s="1">
        <v>1.7945669987369299</v>
      </c>
      <c r="G13" s="1">
        <v>41.225370963954703</v>
      </c>
      <c r="H13" s="1">
        <v>7.5220864834191496E-4</v>
      </c>
    </row>
    <row r="14" spans="1:20" ht="42.75">
      <c r="A14" s="1" t="s">
        <v>23</v>
      </c>
      <c r="B14" s="1">
        <v>8.3978129655986694E-2</v>
      </c>
      <c r="C14" s="1">
        <v>1.6490129792353601</v>
      </c>
      <c r="D14" s="1">
        <v>1.9609170843340999E-4</v>
      </c>
      <c r="E14" s="1">
        <v>-1.0808752506353099E-4</v>
      </c>
      <c r="F14" s="1">
        <v>1.5844237017781799</v>
      </c>
      <c r="G14" s="1">
        <v>40.232987045046102</v>
      </c>
      <c r="H14" s="1">
        <v>6.9718479552250605E-4</v>
      </c>
    </row>
    <row r="15" spans="1:20" ht="42.75">
      <c r="A15" s="1" t="s">
        <v>24</v>
      </c>
      <c r="B15" s="1">
        <v>8.4391376865179599E-2</v>
      </c>
      <c r="C15" s="1">
        <v>1.6486723867456601</v>
      </c>
      <c r="D15" s="1">
        <v>1.0157208622746099E-3</v>
      </c>
      <c r="E15" s="1">
        <v>-3.0323598547079899E-4</v>
      </c>
      <c r="F15" s="1">
        <v>1.5852110921898299</v>
      </c>
      <c r="G15" s="1">
        <v>41.821265591546499</v>
      </c>
      <c r="H15" s="1">
        <v>8.5748047949138202E-4</v>
      </c>
    </row>
    <row r="16" spans="1:20" ht="42.75">
      <c r="A16" s="1" t="s">
        <v>25</v>
      </c>
      <c r="B16" s="1">
        <v>8.3986778727553404E-2</v>
      </c>
      <c r="C16" s="1">
        <v>1.6490531459587201</v>
      </c>
      <c r="D16" s="1">
        <v>4.4144959800554201E-4</v>
      </c>
      <c r="E16" s="1">
        <v>-1.6744467044187001E-4</v>
      </c>
      <c r="F16" s="1">
        <v>2.08478416965696</v>
      </c>
      <c r="G16" s="1">
        <v>41.1875339856146</v>
      </c>
      <c r="H16" s="1">
        <v>7.5220800201283302E-4</v>
      </c>
    </row>
    <row r="17" spans="1:8" ht="42.75">
      <c r="A17" s="1" t="s">
        <v>26</v>
      </c>
      <c r="B17" s="1">
        <v>8.3700704517771493E-2</v>
      </c>
      <c r="C17" s="1">
        <v>1.6481192218492899</v>
      </c>
      <c r="D17" s="1">
        <v>6.04689558055987E-4</v>
      </c>
      <c r="E17" s="1">
        <v>-1.4610146508219399E-4</v>
      </c>
      <c r="F17" s="1">
        <v>2.5836399590305201</v>
      </c>
      <c r="G17" s="1">
        <v>40.207880360535</v>
      </c>
      <c r="H17" s="1">
        <v>6.1506534392050496E-4</v>
      </c>
    </row>
    <row r="18" spans="1:8" ht="42.75">
      <c r="A18" s="1" t="s">
        <v>27</v>
      </c>
      <c r="B18" s="1">
        <v>8.3337504828946599E-2</v>
      </c>
      <c r="C18" s="1">
        <v>1.6492623762916101</v>
      </c>
      <c r="D18" s="1">
        <v>-2.24781195472006E-4</v>
      </c>
      <c r="E18" s="2">
        <v>1.8306766442070499E-5</v>
      </c>
      <c r="F18" s="1">
        <v>1.83576120363435</v>
      </c>
      <c r="G18" s="1">
        <v>40.1084000089512</v>
      </c>
      <c r="H18" s="1">
        <v>8.5995295316442703E-4</v>
      </c>
    </row>
    <row r="19" spans="1:8" ht="42.75">
      <c r="A19" s="1" t="s">
        <v>28</v>
      </c>
      <c r="B19" s="1">
        <v>8.4048471187493506E-2</v>
      </c>
      <c r="C19" s="1">
        <v>1.6487622651665801</v>
      </c>
      <c r="D19" s="1">
        <v>4.3874674970470799E-4</v>
      </c>
      <c r="E19" s="1">
        <v>-1.9927733135150199E-4</v>
      </c>
      <c r="F19" s="1">
        <v>1.58388702956287</v>
      </c>
      <c r="G19" s="1">
        <v>41.098285243438099</v>
      </c>
      <c r="H19" s="1">
        <v>7.5220804955950698E-4</v>
      </c>
    </row>
    <row r="20" spans="1:8" ht="42.75">
      <c r="A20" s="1" t="s">
        <v>29</v>
      </c>
      <c r="B20" s="1">
        <v>8.3859299335631896E-2</v>
      </c>
      <c r="C20" s="1">
        <v>1.6471746969524299</v>
      </c>
      <c r="D20" s="1">
        <v>3.6983539426320802E-4</v>
      </c>
      <c r="E20" s="1">
        <v>-1.37284784815389E-4</v>
      </c>
      <c r="F20" s="1">
        <v>1.8361132325795999</v>
      </c>
      <c r="G20" s="1">
        <v>41.113379510201398</v>
      </c>
      <c r="H20" s="1">
        <v>7.5220826802971396E-4</v>
      </c>
    </row>
    <row r="21" spans="1:8" ht="42.75">
      <c r="A21" s="1" t="s">
        <v>30</v>
      </c>
      <c r="B21" s="1">
        <v>8.4150599797561301E-2</v>
      </c>
      <c r="C21" s="1">
        <v>1.6480888704369001</v>
      </c>
      <c r="D21" s="1">
        <v>3.8121612932739599E-4</v>
      </c>
      <c r="E21" s="1">
        <v>-1.4488331255244801E-4</v>
      </c>
      <c r="F21" s="1">
        <v>1.8342170249071801</v>
      </c>
      <c r="G21" s="1">
        <v>41.061210501596598</v>
      </c>
      <c r="H21" s="1">
        <v>7.5221035849676896E-4</v>
      </c>
    </row>
    <row r="22" spans="1:8" ht="42.75">
      <c r="A22" s="1" t="s">
        <v>31</v>
      </c>
      <c r="B22" s="1">
        <v>8.3705403747337398E-2</v>
      </c>
      <c r="C22" s="1">
        <v>1.64709506847567</v>
      </c>
      <c r="D22" s="1">
        <v>5.8463526041763799E-4</v>
      </c>
      <c r="E22" s="1">
        <v>-1.48800705440387E-4</v>
      </c>
      <c r="F22" s="1">
        <v>2.3355196150598201</v>
      </c>
      <c r="G22" s="1">
        <v>40.042568497555699</v>
      </c>
      <c r="H22" s="1">
        <v>1.08939749563229E-3</v>
      </c>
    </row>
    <row r="23" spans="1:8" ht="42.75">
      <c r="A23" s="1" t="s">
        <v>32</v>
      </c>
      <c r="B23" s="1">
        <v>8.38953398940607E-2</v>
      </c>
      <c r="C23" s="1">
        <v>1.6467403108203</v>
      </c>
      <c r="D23" s="1">
        <v>1.0863098043561901E-3</v>
      </c>
      <c r="E23" s="1">
        <v>-2.4524586641952098E-4</v>
      </c>
      <c r="F23" s="1">
        <v>2.5839232106788699</v>
      </c>
      <c r="G23" s="1">
        <v>41.018005009071601</v>
      </c>
      <c r="H23" s="1">
        <v>7.5220783853681005E-4</v>
      </c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2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2"/>
      <c r="F30" s="1"/>
      <c r="G30" s="1"/>
      <c r="H30" s="1"/>
    </row>
    <row r="31" spans="1:8">
      <c r="A31" s="1"/>
      <c r="B31" s="1"/>
      <c r="C31" s="1"/>
      <c r="D31" s="2"/>
      <c r="E31" s="2"/>
      <c r="F31" s="1"/>
      <c r="G31" s="1"/>
      <c r="H31" s="1"/>
    </row>
    <row r="32" spans="1:8">
      <c r="A32" s="1"/>
      <c r="B32" s="1"/>
      <c r="C32" s="1"/>
      <c r="D32" s="1"/>
      <c r="E32" s="2"/>
      <c r="F32" s="1"/>
      <c r="G32" s="1"/>
      <c r="H32" s="1"/>
    </row>
    <row r="33" spans="1:8">
      <c r="A33" s="1"/>
      <c r="B33" s="1"/>
      <c r="C33" s="1"/>
      <c r="D33" s="2"/>
      <c r="E33" s="2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2"/>
      <c r="F35" s="1"/>
      <c r="G35" s="1"/>
      <c r="H35" s="1"/>
    </row>
    <row r="36" spans="1:8">
      <c r="A36" s="1"/>
      <c r="B36" s="1"/>
      <c r="C36" s="1"/>
      <c r="D36" s="1"/>
      <c r="E36" s="2"/>
      <c r="F36" s="1"/>
      <c r="G36" s="1"/>
      <c r="H36" s="1"/>
    </row>
    <row r="37" spans="1:8">
      <c r="A37" s="1"/>
      <c r="B37" s="1"/>
      <c r="C37" s="1"/>
      <c r="D37" s="2"/>
      <c r="E37" s="2"/>
      <c r="F37" s="1"/>
      <c r="G37" s="1"/>
      <c r="H3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J36"/>
  <sheetViews>
    <sheetView tabSelected="1" workbookViewId="0">
      <selection activeCell="M10" sqref="M10"/>
    </sheetView>
  </sheetViews>
  <sheetFormatPr defaultRowHeight="14.25"/>
  <sheetData>
    <row r="1" spans="1:10">
      <c r="A1" s="1" t="s">
        <v>0</v>
      </c>
      <c r="B1" s="1" t="s">
        <v>4</v>
      </c>
      <c r="C1" s="1" t="s">
        <v>4</v>
      </c>
      <c r="J1" s="1"/>
    </row>
    <row r="2" spans="1:10" ht="42.75">
      <c r="A2" s="1" t="s">
        <v>11</v>
      </c>
      <c r="B2" s="1">
        <v>5.2258479562069899</v>
      </c>
      <c r="C2" s="1">
        <v>8.4098670481367904E-2</v>
      </c>
      <c r="J2" s="1"/>
    </row>
    <row r="3" spans="1:10" ht="42.75">
      <c r="A3" s="1" t="s">
        <v>12</v>
      </c>
      <c r="B3" s="1">
        <v>5.1321123174082999</v>
      </c>
      <c r="C3" s="1">
        <v>8.3770582022428597E-2</v>
      </c>
      <c r="G3">
        <v>894</v>
      </c>
      <c r="H3">
        <v>456</v>
      </c>
      <c r="J3" s="1"/>
    </row>
    <row r="4" spans="1:10" ht="42.75">
      <c r="A4" s="1" t="s">
        <v>13</v>
      </c>
      <c r="B4" s="1">
        <v>5.2437157298636796</v>
      </c>
      <c r="C4" s="1">
        <v>8.3930571430078399E-2</v>
      </c>
      <c r="F4" t="s">
        <v>1</v>
      </c>
      <c r="G4">
        <f>AVERAGE(B2:B33)</f>
        <v>5.2323632325498153</v>
      </c>
      <c r="H4">
        <f>AVERAGE(C2:C33)</f>
        <v>8.4028105692396882E-2</v>
      </c>
      <c r="J4" s="1"/>
    </row>
    <row r="5" spans="1:10" ht="42.75">
      <c r="A5" s="1" t="s">
        <v>14</v>
      </c>
      <c r="B5" s="1">
        <v>5.2504871284328898</v>
      </c>
      <c r="C5" s="1">
        <v>8.4386871474939104E-2</v>
      </c>
      <c r="F5" t="s">
        <v>2</v>
      </c>
      <c r="G5">
        <f>_xlfn.STDEV.S(B2:B33)</f>
        <v>2.8769906057078604E-2</v>
      </c>
      <c r="H5">
        <f>_xlfn.STDEV.S(C2:C33)</f>
        <v>3.1432104335582978E-4</v>
      </c>
      <c r="J5" s="1"/>
    </row>
    <row r="6" spans="1:10" ht="42.75">
      <c r="A6" s="1" t="s">
        <v>15</v>
      </c>
      <c r="B6" s="1">
        <v>5.2503356968257</v>
      </c>
      <c r="C6" s="1">
        <v>8.3779094698236606E-2</v>
      </c>
      <c r="F6" t="s">
        <v>3</v>
      </c>
      <c r="G6">
        <f>G5/G4/SQRT(COUNT(B2:B33))</f>
        <v>1.1722742302551672E-3</v>
      </c>
      <c r="H6">
        <f>H5/H4/SQRT(COUNT(C2:C33))</f>
        <v>7.9751258292580279E-4</v>
      </c>
      <c r="J6" s="1"/>
    </row>
    <row r="7" spans="1:10" ht="42.75">
      <c r="A7" s="1" t="s">
        <v>16</v>
      </c>
      <c r="B7" s="1">
        <v>5.2336543988027202</v>
      </c>
      <c r="C7" s="1">
        <v>8.4368245251587398E-2</v>
      </c>
      <c r="J7" s="1"/>
    </row>
    <row r="8" spans="1:10" ht="42.75">
      <c r="A8" s="1" t="s">
        <v>17</v>
      </c>
      <c r="B8" s="1">
        <v>5.2591832551717097</v>
      </c>
      <c r="C8" s="1">
        <v>8.4640740114124396E-2</v>
      </c>
      <c r="J8" s="1"/>
    </row>
    <row r="9" spans="1:10" ht="42.75">
      <c r="A9" s="1" t="s">
        <v>18</v>
      </c>
      <c r="B9" s="1">
        <v>5.2469052817766597</v>
      </c>
      <c r="C9" s="1">
        <v>8.3819572528152295E-2</v>
      </c>
      <c r="J9" s="1"/>
    </row>
    <row r="10" spans="1:10" ht="42.75">
      <c r="A10" s="1" t="s">
        <v>19</v>
      </c>
      <c r="B10" s="1">
        <v>5.25892843081182</v>
      </c>
      <c r="C10" s="1">
        <v>8.4298501986348195E-2</v>
      </c>
      <c r="J10" s="1"/>
    </row>
    <row r="11" spans="1:10" ht="42.75">
      <c r="A11" s="1" t="s">
        <v>20</v>
      </c>
      <c r="B11" s="1">
        <v>5.21286007784256</v>
      </c>
      <c r="C11" s="1">
        <v>8.3749879844150901E-2</v>
      </c>
      <c r="J11" s="1"/>
    </row>
    <row r="12" spans="1:10" ht="42.75">
      <c r="A12" s="1" t="s">
        <v>21</v>
      </c>
      <c r="B12" s="1">
        <v>5.2596778259212398</v>
      </c>
      <c r="C12" s="1">
        <v>8.4288203419773597E-2</v>
      </c>
      <c r="J12" s="1"/>
    </row>
    <row r="13" spans="1:10" ht="42.75">
      <c r="A13" s="1" t="s">
        <v>22</v>
      </c>
      <c r="B13" s="1">
        <v>5.2590212289624798</v>
      </c>
      <c r="C13" s="1">
        <v>8.4433783424020706E-2</v>
      </c>
      <c r="J13" s="1"/>
    </row>
    <row r="14" spans="1:10" ht="42.75">
      <c r="A14" s="1" t="s">
        <v>23</v>
      </c>
      <c r="B14" s="1">
        <v>5.2296998738747797</v>
      </c>
      <c r="C14" s="1">
        <v>8.3978129655986694E-2</v>
      </c>
      <c r="J14" s="1"/>
    </row>
    <row r="15" spans="1:10" ht="42.75">
      <c r="A15" s="1" t="s">
        <v>24</v>
      </c>
      <c r="B15" s="1">
        <v>5.2667771366869696</v>
      </c>
      <c r="C15" s="1">
        <v>8.4391376865179599E-2</v>
      </c>
      <c r="J15" s="1"/>
    </row>
    <row r="16" spans="1:10" ht="42.75">
      <c r="A16" s="1" t="s">
        <v>25</v>
      </c>
      <c r="B16" s="1">
        <v>5.2271473404603404</v>
      </c>
      <c r="C16" s="1">
        <v>8.3986778727553404E-2</v>
      </c>
      <c r="J16" s="1"/>
    </row>
    <row r="17" spans="1:10" ht="42.75">
      <c r="A17" s="1" t="s">
        <v>26</v>
      </c>
      <c r="B17" s="1">
        <v>5.2172814151544804</v>
      </c>
      <c r="C17" s="1">
        <v>8.3700704517771493E-2</v>
      </c>
      <c r="J17" s="1"/>
    </row>
    <row r="18" spans="1:10" ht="42.75">
      <c r="A18" s="1" t="s">
        <v>27</v>
      </c>
      <c r="B18" s="1">
        <v>5.2026205255307998</v>
      </c>
      <c r="C18" s="1">
        <v>8.3337504828946599E-2</v>
      </c>
      <c r="J18" s="1"/>
    </row>
    <row r="19" spans="1:10" ht="42.75">
      <c r="A19" s="1" t="s">
        <v>28</v>
      </c>
      <c r="B19" s="1">
        <v>5.2088502809019603</v>
      </c>
      <c r="C19" s="1">
        <v>8.4048471187493506E-2</v>
      </c>
      <c r="J19" s="1"/>
    </row>
    <row r="20" spans="1:10" ht="42.75">
      <c r="A20" s="1" t="s">
        <v>29</v>
      </c>
      <c r="B20" s="1">
        <v>5.2306348705772896</v>
      </c>
      <c r="C20" s="1">
        <v>8.3859299335631896E-2</v>
      </c>
      <c r="J20" s="1"/>
    </row>
    <row r="21" spans="1:10" ht="42.75">
      <c r="A21" s="1" t="s">
        <v>30</v>
      </c>
      <c r="B21" s="1">
        <v>5.2252366536496302</v>
      </c>
      <c r="C21" s="1">
        <v>8.4150599797561301E-2</v>
      </c>
      <c r="J21" s="1"/>
    </row>
    <row r="22" spans="1:10" ht="42.75">
      <c r="A22" s="1" t="s">
        <v>31</v>
      </c>
      <c r="B22" s="1">
        <v>5.2416884024595696</v>
      </c>
      <c r="C22" s="1">
        <v>8.3705403747337398E-2</v>
      </c>
      <c r="J22" s="1"/>
    </row>
    <row r="23" spans="1:10" ht="42.75">
      <c r="A23" s="1" t="s">
        <v>32</v>
      </c>
      <c r="B23" s="1">
        <v>5.2293252887733699</v>
      </c>
      <c r="C23" s="1">
        <v>8.38953398940607E-2</v>
      </c>
      <c r="J23" s="1"/>
    </row>
    <row r="24" spans="1:10">
      <c r="A24" s="1"/>
      <c r="B24" s="1"/>
    </row>
    <row r="25" spans="1:10">
      <c r="A25" s="1"/>
      <c r="B25" s="1"/>
    </row>
    <row r="26" spans="1:10">
      <c r="A26" s="1"/>
      <c r="B26" s="1"/>
    </row>
    <row r="27" spans="1:10">
      <c r="A27" s="1"/>
      <c r="B27" s="1"/>
    </row>
    <row r="28" spans="1:10">
      <c r="A28" s="1"/>
      <c r="B28" s="1"/>
    </row>
    <row r="29" spans="1:10">
      <c r="A29" s="1"/>
      <c r="B29" s="1"/>
    </row>
    <row r="30" spans="1:10">
      <c r="A30" s="1"/>
      <c r="B30" s="1"/>
    </row>
    <row r="31" spans="1:10">
      <c r="A31" s="1"/>
      <c r="B31" s="1"/>
    </row>
    <row r="32" spans="1:10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2026-06-24T14:26:48Z</dcterms:created>
  <dcterms:modified xsi:type="dcterms:W3CDTF">2026-07-16T21:52:51Z</dcterms:modified>
</cp:coreProperties>
</file>