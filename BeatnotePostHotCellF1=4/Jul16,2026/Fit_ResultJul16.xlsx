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HotCell\Jul16,2026\"/>
    </mc:Choice>
  </mc:AlternateContent>
  <xr:revisionPtr revIDLastSave="0" documentId="13_ncr:1_{4AE56DC5-2AA0-45D9-9FFC-D126011E6745}" xr6:coauthVersionLast="47" xr6:coauthVersionMax="47" xr10:uidLastSave="{00000000-0000-0000-0000-000000000000}"/>
  <bookViews>
    <workbookView xWindow="28680" yWindow="-120" windowWidth="29040" windowHeight="15720" activeTab="2" xr2:uid="{D9E101C5-8284-4B59-8B1C-2AD2D5F2FDD3}"/>
  </bookViews>
  <sheets>
    <sheet name="894" sheetId="2" r:id="rId1"/>
    <sheet name="456" sheetId="1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3" l="1"/>
  <c r="G4" i="3"/>
  <c r="G5" i="3" s="1"/>
  <c r="F5" i="3"/>
  <c r="F4" i="3"/>
  <c r="F3" i="3"/>
</calcChain>
</file>

<file path=xl/sharedStrings.xml><?xml version="1.0" encoding="utf-8"?>
<sst xmlns="http://schemas.openxmlformats.org/spreadsheetml/2006/main" count="129" uniqueCount="48">
  <si>
    <t>Date</t>
  </si>
  <si>
    <t>Mean</t>
  </si>
  <si>
    <t>STD</t>
  </si>
  <si>
    <t>Mean/std/sqrt(n)</t>
  </si>
  <si>
    <t>Alpha</t>
  </si>
  <si>
    <t>P0</t>
  </si>
  <si>
    <t>h1</t>
  </si>
  <si>
    <t>mv</t>
  </si>
  <si>
    <t>T</t>
  </si>
  <si>
    <t>gamma</t>
  </si>
  <si>
    <t>offset</t>
  </si>
  <si>
    <t>Jul16,2026+1-03-40PM</t>
  </si>
  <si>
    <t>Jul16,2026+1-12-17PM</t>
  </si>
  <si>
    <t>Jul16,2026+1-21-11PM</t>
  </si>
  <si>
    <t>Jul16,2026+1-29-15PM</t>
  </si>
  <si>
    <t>Jul16,2026+1-38-48PM</t>
  </si>
  <si>
    <t>Jul16,2026+1-49-33PM</t>
  </si>
  <si>
    <t>Jul16,2026+1-57-55PM</t>
  </si>
  <si>
    <t>Jul16,2026+10-05-58AM</t>
  </si>
  <si>
    <t>Jul16,2026+10-14-09AM</t>
  </si>
  <si>
    <t>Jul16,2026+10-22-13AM</t>
  </si>
  <si>
    <t>Jul16,2026+10-30-40AM</t>
  </si>
  <si>
    <t>Jul16,2026+10-39-15AM</t>
  </si>
  <si>
    <t>Jul16,2026+10-47-37AM</t>
  </si>
  <si>
    <t>Jul16,2026+11-01-11AM</t>
  </si>
  <si>
    <t>Jul16,2026+11-09-27AM</t>
  </si>
  <si>
    <t>Jul16,2026+11-17-25AM</t>
  </si>
  <si>
    <t>Jul16,2026+11-25-19AM</t>
  </si>
  <si>
    <t>Jul16,2026+2-05-51PM</t>
  </si>
  <si>
    <t>Jul16,2026+2-33-57PM</t>
  </si>
  <si>
    <t>Jul16,2026+3-07-41PM</t>
  </si>
  <si>
    <t>Jul16,2026+8-55-13AM</t>
  </si>
  <si>
    <t>Jul16,2026+9-04-11AM</t>
  </si>
  <si>
    <t>Jul16,2026+9-15-02AM</t>
  </si>
  <si>
    <t>Jul16,2026+9-23-01AM</t>
  </si>
  <si>
    <t>Jul16,2026+9-33-02AM</t>
  </si>
  <si>
    <t>Jul16,2026+9-41-08AM</t>
  </si>
  <si>
    <t>Jul16,2026+9-49-15AM</t>
  </si>
  <si>
    <t>Jul16,2026+9-57-53AM</t>
  </si>
  <si>
    <t>Jul16,2026+11-36-19AM</t>
  </si>
  <si>
    <t>Jul16,2026+11-44-18AM</t>
  </si>
  <si>
    <t>Jul16,2026+12-12-00PM</t>
  </si>
  <si>
    <t>Jul16,2026+12-19-52PM</t>
  </si>
  <si>
    <t>Jul16,2026+12-38-41PM</t>
  </si>
  <si>
    <t>Jul16,2026+12-47-04PM</t>
  </si>
  <si>
    <t>Jul16,2026+12-55-34PM</t>
  </si>
  <si>
    <t>Jul16,2026+2-16-32PM</t>
  </si>
  <si>
    <t>Jul16,2026+2-51-44PM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</si>
</sst>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V36"/>
  <sheetViews>
    <sheetView workbookViewId="0">
      <selection sqref="A1:B1048576"/>
    </sheetView>
  </sheetViews>
  <sheetFormatPr defaultRowHeight="14.25"/>
  <sheetData>
    <row r="1" spans="1:22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K1" s="1"/>
      <c r="L1" s="1"/>
      <c r="M1" s="1"/>
      <c r="N1" s="1"/>
      <c r="O1" s="1"/>
      <c r="P1" s="1"/>
      <c r="Q1" s="1"/>
      <c r="R1" s="1"/>
      <c r="S1" s="1"/>
    </row>
    <row r="2" spans="1:22" ht="42.75">
      <c r="A2" s="1" t="s">
        <v>11</v>
      </c>
      <c r="B2" s="1">
        <v>4.0137738076926297</v>
      </c>
      <c r="C2" s="1">
        <v>1.3367314059711499</v>
      </c>
      <c r="D2" s="1">
        <v>-4.9015986791461899E-3</v>
      </c>
      <c r="E2" s="1">
        <v>2.1297936451967199</v>
      </c>
      <c r="F2" s="1">
        <v>41.254373686272501</v>
      </c>
      <c r="G2" s="1">
        <v>3.1791894215251601E-3</v>
      </c>
      <c r="H2" s="1"/>
      <c r="L2" s="1"/>
      <c r="M2" s="1"/>
      <c r="N2" s="1"/>
      <c r="O2" s="1"/>
      <c r="P2" s="1"/>
      <c r="Q2" s="1"/>
      <c r="R2" s="1"/>
      <c r="S2" s="1"/>
      <c r="T2" s="1"/>
    </row>
    <row r="3" spans="1:22" ht="42.75">
      <c r="A3" s="1" t="s">
        <v>12</v>
      </c>
      <c r="B3" s="1">
        <v>4.0189067438591497</v>
      </c>
      <c r="C3" s="1">
        <v>1.3412332710178401</v>
      </c>
      <c r="D3" s="1">
        <v>-5.6976529756634997E-3</v>
      </c>
      <c r="E3" s="1">
        <v>2.1303642207898199</v>
      </c>
      <c r="F3" s="1">
        <v>40.294524844706103</v>
      </c>
      <c r="G3" s="1">
        <v>3.0580987427314601E-3</v>
      </c>
      <c r="H3" s="1"/>
      <c r="T3" s="1"/>
      <c r="U3" s="1"/>
      <c r="V3" s="1"/>
    </row>
    <row r="4" spans="1:22" ht="42.75">
      <c r="A4" s="1" t="s">
        <v>13</v>
      </c>
      <c r="B4" s="1">
        <v>4.0019418304313801</v>
      </c>
      <c r="C4" s="1">
        <v>1.3349950541304301</v>
      </c>
      <c r="D4" s="1">
        <v>-4.3435186662281796E-3</v>
      </c>
      <c r="E4" s="1">
        <v>2.1298787683654701</v>
      </c>
      <c r="F4" s="1">
        <v>40.331803240010601</v>
      </c>
      <c r="G4" s="1">
        <v>2.6670346657343301E-3</v>
      </c>
      <c r="H4" s="1"/>
      <c r="T4" s="1"/>
    </row>
    <row r="5" spans="1:22" ht="42.75">
      <c r="A5" s="1" t="s">
        <v>14</v>
      </c>
      <c r="B5" s="1">
        <v>4.0058057955871602</v>
      </c>
      <c r="C5" s="1">
        <v>1.33995791476193</v>
      </c>
      <c r="D5" s="1">
        <v>-4.5403309408433403E-3</v>
      </c>
      <c r="E5" s="1">
        <v>2.1295350318473498</v>
      </c>
      <c r="F5" s="1">
        <v>40.356134170230803</v>
      </c>
      <c r="G5" s="1">
        <v>2.8869556890048199E-3</v>
      </c>
      <c r="H5" s="1"/>
      <c r="T5" s="1"/>
    </row>
    <row r="6" spans="1:22" ht="42.75">
      <c r="A6" s="1" t="s">
        <v>15</v>
      </c>
      <c r="B6" s="1">
        <v>4.0060301681826802</v>
      </c>
      <c r="C6" s="1">
        <v>1.3406870393414601</v>
      </c>
      <c r="D6" s="1">
        <v>-5.3072611241702598E-3</v>
      </c>
      <c r="E6" s="1">
        <v>2.1310048471927501</v>
      </c>
      <c r="F6" s="1">
        <v>40.748970483505303</v>
      </c>
      <c r="G6" s="1">
        <v>3.67401382635703E-3</v>
      </c>
      <c r="H6" s="1"/>
      <c r="T6" s="1"/>
    </row>
    <row r="7" spans="1:22" ht="42.75">
      <c r="A7" s="1" t="s">
        <v>16</v>
      </c>
      <c r="B7" s="1">
        <v>3.99829105994908</v>
      </c>
      <c r="C7" s="1">
        <v>1.34279532858034</v>
      </c>
      <c r="D7" s="1">
        <v>-4.8193826865578502E-3</v>
      </c>
      <c r="E7" s="1">
        <v>2.13046949263089</v>
      </c>
      <c r="F7" s="1">
        <v>40.379741470009101</v>
      </c>
      <c r="G7" s="1">
        <v>2.62364066684835E-3</v>
      </c>
      <c r="H7" s="1"/>
      <c r="T7" s="1"/>
    </row>
    <row r="8" spans="1:22" ht="42.75">
      <c r="A8" s="1" t="s">
        <v>17</v>
      </c>
      <c r="B8" s="1">
        <v>3.9906830558389799</v>
      </c>
      <c r="C8" s="1">
        <v>1.34524497111512</v>
      </c>
      <c r="D8" s="1">
        <v>-4.65827202305376E-3</v>
      </c>
      <c r="E8" s="1">
        <v>2.1314245355958201</v>
      </c>
      <c r="F8" s="1">
        <v>40.4101591507903</v>
      </c>
      <c r="G8" s="1">
        <v>3.1169761528042901E-3</v>
      </c>
      <c r="H8" s="1"/>
      <c r="T8" s="1"/>
    </row>
    <row r="9" spans="1:22" ht="42.75">
      <c r="A9" s="1" t="s">
        <v>18</v>
      </c>
      <c r="B9" s="1">
        <v>4.0520999190004696</v>
      </c>
      <c r="C9" s="1">
        <v>1.34158715584287</v>
      </c>
      <c r="D9" s="1">
        <v>-4.4331133671508304E-3</v>
      </c>
      <c r="E9" s="1">
        <v>2.1302872088387499</v>
      </c>
      <c r="F9" s="1">
        <v>39.780420165455098</v>
      </c>
      <c r="G9" s="1">
        <v>2.93068278330168E-3</v>
      </c>
      <c r="H9" s="1"/>
      <c r="T9" s="1"/>
    </row>
    <row r="10" spans="1:22" ht="42.75">
      <c r="A10" s="1" t="s">
        <v>19</v>
      </c>
      <c r="B10" s="1">
        <v>4.0532303423785203</v>
      </c>
      <c r="C10" s="1">
        <v>1.3419585268677601</v>
      </c>
      <c r="D10" s="1">
        <v>-4.4225675344101E-3</v>
      </c>
      <c r="E10" s="1">
        <v>2.1309690860929602</v>
      </c>
      <c r="F10" s="1">
        <v>40.212269035124301</v>
      </c>
      <c r="G10" s="1">
        <v>2.8350279484825299E-3</v>
      </c>
      <c r="H10" s="1"/>
      <c r="T10" s="1"/>
    </row>
    <row r="11" spans="1:22" ht="42.75">
      <c r="A11" s="1" t="s">
        <v>20</v>
      </c>
      <c r="B11" s="1">
        <v>4.0597656945719098</v>
      </c>
      <c r="C11" s="1">
        <v>1.3414744610356999</v>
      </c>
      <c r="D11" s="1">
        <v>-4.34629499074605E-3</v>
      </c>
      <c r="E11" s="1">
        <v>2.1300469966584501</v>
      </c>
      <c r="F11" s="1">
        <v>39.833167473850402</v>
      </c>
      <c r="G11" s="1">
        <v>2.8453422942614102E-3</v>
      </c>
      <c r="H11" s="1"/>
      <c r="T11" s="1"/>
    </row>
    <row r="12" spans="1:22" ht="42.75">
      <c r="A12" s="1" t="s">
        <v>21</v>
      </c>
      <c r="B12" s="1">
        <v>4.0397313521665303</v>
      </c>
      <c r="C12" s="1">
        <v>1.3431506473432699</v>
      </c>
      <c r="D12" s="1">
        <v>-4.2273667873785302E-3</v>
      </c>
      <c r="E12" s="1">
        <v>2.1304982518384299</v>
      </c>
      <c r="F12" s="1">
        <v>39.8745969709435</v>
      </c>
      <c r="G12" s="1">
        <v>2.2873004963005201E-3</v>
      </c>
      <c r="H12" s="1"/>
      <c r="T12" s="1"/>
    </row>
    <row r="13" spans="1:22" ht="42.75">
      <c r="A13" s="1" t="s">
        <v>22</v>
      </c>
      <c r="B13" s="1">
        <v>4.0389446603470498</v>
      </c>
      <c r="C13" s="1">
        <v>1.3442408445592899</v>
      </c>
      <c r="D13" s="1">
        <v>-4.1406398463463704E-3</v>
      </c>
      <c r="E13" s="1">
        <v>2.13111456347966</v>
      </c>
      <c r="F13" s="1">
        <v>39.901398711889698</v>
      </c>
      <c r="G13" s="1">
        <v>2.6441898476331702E-3</v>
      </c>
      <c r="H13" s="1"/>
      <c r="T13" s="1"/>
    </row>
    <row r="14" spans="1:22" ht="42.75">
      <c r="A14" s="1" t="s">
        <v>23</v>
      </c>
      <c r="B14" s="1">
        <v>4.0491521884945199</v>
      </c>
      <c r="C14" s="1">
        <v>1.3457019650089801</v>
      </c>
      <c r="D14" s="1">
        <v>-4.2055395619418597E-3</v>
      </c>
      <c r="E14" s="1">
        <v>2.1308631808053402</v>
      </c>
      <c r="F14" s="1">
        <v>41.894015718697901</v>
      </c>
      <c r="G14" s="1">
        <v>2.5631420516649302E-3</v>
      </c>
      <c r="H14" s="1"/>
      <c r="T14" s="1"/>
    </row>
    <row r="15" spans="1:22" ht="42.75">
      <c r="A15" s="1" t="s">
        <v>24</v>
      </c>
      <c r="B15" s="1">
        <v>4.0282207799584802</v>
      </c>
      <c r="C15" s="1">
        <v>1.3480336915969</v>
      </c>
      <c r="D15" s="1">
        <v>-4.5667154825211097E-3</v>
      </c>
      <c r="E15" s="1">
        <v>2.1307888978402501</v>
      </c>
      <c r="F15" s="1">
        <v>40.033763226224799</v>
      </c>
      <c r="G15" s="1">
        <v>3.0249397108416398E-3</v>
      </c>
      <c r="H15" s="1"/>
      <c r="T15" s="1"/>
    </row>
    <row r="16" spans="1:22" ht="42.75">
      <c r="A16" s="1" t="s">
        <v>25</v>
      </c>
      <c r="B16" s="1">
        <v>4.0373666399902799</v>
      </c>
      <c r="C16" s="1">
        <v>1.3471055055073999</v>
      </c>
      <c r="D16" s="1">
        <v>-4.4530268598038198E-3</v>
      </c>
      <c r="E16" s="1">
        <v>2.1304382088499998</v>
      </c>
      <c r="F16" s="1">
        <v>39.921339440335103</v>
      </c>
      <c r="G16" s="1">
        <v>2.8667597449297099E-3</v>
      </c>
      <c r="H16" s="1"/>
      <c r="T16" s="1"/>
    </row>
    <row r="17" spans="1:20" ht="42.75">
      <c r="A17" s="1" t="s">
        <v>26</v>
      </c>
      <c r="B17" s="1">
        <v>4.0254616281370303</v>
      </c>
      <c r="C17" s="1">
        <v>1.3433518779154701</v>
      </c>
      <c r="D17" s="1">
        <v>-4.05294324674812E-3</v>
      </c>
      <c r="E17" s="1">
        <v>2.12969548327077</v>
      </c>
      <c r="F17" s="1">
        <v>39.933456070164297</v>
      </c>
      <c r="G17" s="1">
        <v>3.0310671814622E-3</v>
      </c>
      <c r="H17" s="1"/>
      <c r="T17" s="1"/>
    </row>
    <row r="18" spans="1:20" ht="42.75">
      <c r="A18" s="1" t="s">
        <v>27</v>
      </c>
      <c r="B18" s="1">
        <v>4.0346044905874798</v>
      </c>
      <c r="C18" s="1">
        <v>1.3384364186307001</v>
      </c>
      <c r="D18" s="1">
        <v>-3.2622529189937901E-3</v>
      </c>
      <c r="E18" s="1">
        <v>2.1293181543480602</v>
      </c>
      <c r="F18" s="1">
        <v>40.922848411360398</v>
      </c>
      <c r="G18" s="1">
        <v>3.27911986861339E-3</v>
      </c>
      <c r="H18" s="1"/>
      <c r="T18" s="1"/>
    </row>
    <row r="19" spans="1:20" ht="42.75">
      <c r="A19" s="1" t="s">
        <v>28</v>
      </c>
      <c r="B19" s="1">
        <v>3.99736506566357</v>
      </c>
      <c r="C19" s="1">
        <v>1.3435163052594901</v>
      </c>
      <c r="D19" s="1">
        <v>-4.4157322974552899E-3</v>
      </c>
      <c r="E19" s="1">
        <v>2.1306086516509901</v>
      </c>
      <c r="F19" s="1">
        <v>41.938285588813002</v>
      </c>
      <c r="G19" s="1">
        <v>2.6166607468498301E-3</v>
      </c>
      <c r="H19" s="1"/>
    </row>
    <row r="20" spans="1:20" ht="42.75">
      <c r="A20" s="1" t="s">
        <v>29</v>
      </c>
      <c r="B20" s="1">
        <v>3.98390122498571</v>
      </c>
      <c r="C20" s="1">
        <v>1.35651511660443</v>
      </c>
      <c r="D20" s="1">
        <v>-5.3621927684662897E-3</v>
      </c>
      <c r="E20" s="1">
        <v>2.1309483134193599</v>
      </c>
      <c r="F20" s="1">
        <v>40.399038520501399</v>
      </c>
      <c r="G20" s="1">
        <v>3.1752297051459801E-3</v>
      </c>
      <c r="H20" s="1"/>
    </row>
    <row r="21" spans="1:20" ht="42.75">
      <c r="A21" s="1" t="s">
        <v>30</v>
      </c>
      <c r="B21" s="1">
        <v>3.9792620371784699</v>
      </c>
      <c r="C21" s="1">
        <v>1.35394996286221</v>
      </c>
      <c r="D21" s="1">
        <v>-4.5190319676884499E-3</v>
      </c>
      <c r="E21" s="1">
        <v>2.1303458711100798</v>
      </c>
      <c r="F21" s="1">
        <v>40.264898510000002</v>
      </c>
      <c r="G21" s="1">
        <v>3.56704130819956E-3</v>
      </c>
      <c r="H21" s="1"/>
    </row>
    <row r="22" spans="1:20" ht="42.75">
      <c r="A22" s="1" t="s">
        <v>31</v>
      </c>
      <c r="B22" s="1">
        <v>4.0504847360743401</v>
      </c>
      <c r="C22" s="1">
        <v>1.3519636931082399</v>
      </c>
      <c r="D22" s="1">
        <v>-5.0951694934066004E-3</v>
      </c>
      <c r="E22" s="1">
        <v>2.13049568988753</v>
      </c>
      <c r="F22" s="1">
        <v>39.576419760009003</v>
      </c>
      <c r="G22" s="1">
        <v>3.5311873227018898E-3</v>
      </c>
      <c r="H22" s="1"/>
    </row>
    <row r="23" spans="1:20" ht="42.75">
      <c r="A23" s="1" t="s">
        <v>32</v>
      </c>
      <c r="B23" s="1">
        <v>4.0496768121653703</v>
      </c>
      <c r="C23" s="1">
        <v>1.34602969478738</v>
      </c>
      <c r="D23" s="1">
        <v>-4.6976768722167897E-3</v>
      </c>
      <c r="E23" s="1">
        <v>2.13038258679792</v>
      </c>
      <c r="F23" s="1">
        <v>39.596173572345101</v>
      </c>
      <c r="G23" s="1">
        <v>2.55088471537685E-3</v>
      </c>
      <c r="H23" s="1"/>
    </row>
    <row r="24" spans="1:20" ht="42.75">
      <c r="A24" s="1" t="s">
        <v>33</v>
      </c>
      <c r="B24" s="1">
        <v>4.0401570007949097</v>
      </c>
      <c r="C24" s="1">
        <v>1.3466410449755499</v>
      </c>
      <c r="D24" s="1">
        <v>-4.6365992005354701E-3</v>
      </c>
      <c r="E24" s="1">
        <v>2.13027134946504</v>
      </c>
      <c r="F24" s="1">
        <v>39.611494307719397</v>
      </c>
      <c r="G24" s="1">
        <v>2.85584089014942E-3</v>
      </c>
      <c r="H24" s="1"/>
    </row>
    <row r="25" spans="1:20" ht="42.75">
      <c r="A25" s="1" t="s">
        <v>34</v>
      </c>
      <c r="B25" s="1">
        <v>4.0452933053436704</v>
      </c>
      <c r="C25" s="1">
        <v>1.3459682283893299</v>
      </c>
      <c r="D25" s="1">
        <v>-4.2647188214615696E-3</v>
      </c>
      <c r="E25" s="1">
        <v>2.1309307548502798</v>
      </c>
      <c r="F25" s="1">
        <v>41.225162674817298</v>
      </c>
      <c r="G25" s="1">
        <v>2.2873004958079402E-3</v>
      </c>
      <c r="H25" s="1"/>
    </row>
    <row r="26" spans="1:20" ht="42.75">
      <c r="A26" s="1" t="s">
        <v>35</v>
      </c>
      <c r="B26" s="1">
        <v>4.0393053513377497</v>
      </c>
      <c r="C26" s="1">
        <v>1.3500995444742201</v>
      </c>
      <c r="D26" s="1">
        <v>-4.4189951304506401E-3</v>
      </c>
      <c r="E26" s="1">
        <v>2.1302298410067002</v>
      </c>
      <c r="F26" s="1">
        <v>39.674434430258501</v>
      </c>
      <c r="G26" s="1">
        <v>2.55832363036333E-3</v>
      </c>
      <c r="H26" s="1"/>
    </row>
    <row r="27" spans="1:20" ht="42.75">
      <c r="A27" s="1" t="s">
        <v>36</v>
      </c>
      <c r="B27" s="1">
        <v>4.0427869051265404</v>
      </c>
      <c r="C27" s="1">
        <v>1.3488353217451099</v>
      </c>
      <c r="D27" s="1">
        <v>-5.2991553592230704E-3</v>
      </c>
      <c r="E27" s="1">
        <v>2.13056268023082</v>
      </c>
      <c r="F27" s="1">
        <v>39.683520410112003</v>
      </c>
      <c r="G27" s="1">
        <v>2.8455142562456999E-3</v>
      </c>
      <c r="H27" s="1"/>
    </row>
    <row r="28" spans="1:20" ht="42.75">
      <c r="A28" s="1" t="s">
        <v>37</v>
      </c>
      <c r="B28" s="1">
        <v>4.0371132630075302</v>
      </c>
      <c r="C28" s="1">
        <v>1.34261643078874</v>
      </c>
      <c r="D28" s="1">
        <v>-4.6549202219507198E-3</v>
      </c>
      <c r="E28" s="1">
        <v>2.1305172955624601</v>
      </c>
      <c r="F28" s="1">
        <v>39.737405234599798</v>
      </c>
      <c r="G28" s="1">
        <v>2.5938599416511E-3</v>
      </c>
      <c r="H28" s="1"/>
    </row>
    <row r="29" spans="1:20" ht="42.75">
      <c r="A29" s="1" t="s">
        <v>38</v>
      </c>
      <c r="B29" s="1">
        <v>4.0301105995964903</v>
      </c>
      <c r="C29" s="1">
        <v>1.3388944501257301</v>
      </c>
      <c r="D29" s="1">
        <v>-3.5516937921791702E-3</v>
      </c>
      <c r="E29" s="1">
        <v>2.1305921886910202</v>
      </c>
      <c r="F29" s="1">
        <v>39.758431770030597</v>
      </c>
      <c r="G29" s="1">
        <v>2.28730049572585E-3</v>
      </c>
      <c r="H29" s="1"/>
    </row>
    <row r="30" spans="1:20" ht="42.75">
      <c r="A30" s="1" t="s">
        <v>39</v>
      </c>
      <c r="B30" s="1">
        <v>4.0220126763814203</v>
      </c>
      <c r="C30" s="1">
        <v>1.34734688120392</v>
      </c>
      <c r="D30" s="1">
        <v>-4.4263374566809602E-3</v>
      </c>
      <c r="E30" s="1">
        <v>2.1306633989982098</v>
      </c>
      <c r="F30" s="1">
        <v>39.955504642885302</v>
      </c>
      <c r="G30" s="1">
        <v>2.7381380588182998E-3</v>
      </c>
      <c r="H30" s="1"/>
    </row>
    <row r="31" spans="1:20" ht="42.75">
      <c r="A31" s="1" t="s">
        <v>40</v>
      </c>
      <c r="B31" s="1">
        <v>4.0377589881580498</v>
      </c>
      <c r="C31" s="1">
        <v>1.34583581060927</v>
      </c>
      <c r="D31" s="1">
        <v>-4.6941303182028802E-3</v>
      </c>
      <c r="E31" s="1">
        <v>2.1305002572629701</v>
      </c>
      <c r="F31" s="1">
        <v>39.950696780906398</v>
      </c>
      <c r="G31" s="1">
        <v>2.4941950191180902E-3</v>
      </c>
      <c r="H31" s="1"/>
    </row>
    <row r="32" spans="1:20" ht="42.75">
      <c r="A32" s="1" t="s">
        <v>41</v>
      </c>
      <c r="B32" s="1">
        <v>4.0016969711271004</v>
      </c>
      <c r="C32" s="1">
        <v>1.3427702459701101</v>
      </c>
      <c r="D32" s="1">
        <v>-5.1958385665162397E-3</v>
      </c>
      <c r="E32" s="1">
        <v>2.13033938405199</v>
      </c>
      <c r="F32" s="1">
        <v>39.971403490002302</v>
      </c>
      <c r="G32" s="1">
        <v>2.95724272494857E-3</v>
      </c>
      <c r="H32" s="1"/>
    </row>
    <row r="33" spans="1:8" ht="42.75">
      <c r="A33" s="1" t="s">
        <v>42</v>
      </c>
      <c r="B33" s="1">
        <v>3.9850777599500198</v>
      </c>
      <c r="C33" s="1">
        <v>1.33602389199983</v>
      </c>
      <c r="D33" s="1">
        <v>-4.9984650720290699E-3</v>
      </c>
      <c r="E33" s="1">
        <v>2.13085304294518</v>
      </c>
      <c r="F33" s="1">
        <v>40.038369770500402</v>
      </c>
      <c r="G33" s="1">
        <v>2.3035160509328701E-3</v>
      </c>
      <c r="H33" s="1"/>
    </row>
    <row r="34" spans="1:8" ht="42.75">
      <c r="A34" s="1" t="s">
        <v>43</v>
      </c>
      <c r="B34" s="1">
        <v>4.0132441168710704</v>
      </c>
      <c r="C34" s="1">
        <v>1.33403062771617</v>
      </c>
      <c r="D34" s="1">
        <v>-4.9692006831741804E-3</v>
      </c>
      <c r="E34" s="1">
        <v>2.1307569542159701</v>
      </c>
      <c r="F34" s="1">
        <v>40.602869404572701</v>
      </c>
      <c r="G34" s="1">
        <v>3.0596899325608302E-3</v>
      </c>
      <c r="H34" s="1"/>
    </row>
    <row r="35" spans="1:8" ht="42.75">
      <c r="A35" s="1" t="s">
        <v>44</v>
      </c>
      <c r="B35" s="1">
        <v>4.0107044449171996</v>
      </c>
      <c r="C35" s="1">
        <v>1.33234172461134</v>
      </c>
      <c r="D35" s="1">
        <v>-4.7721489801990404E-3</v>
      </c>
      <c r="E35" s="1">
        <v>2.1305942851925699</v>
      </c>
      <c r="F35" s="1">
        <v>40.193384380443803</v>
      </c>
      <c r="G35" s="1">
        <v>3.1245342368385002E-3</v>
      </c>
      <c r="H35" s="1"/>
    </row>
    <row r="36" spans="1:8" ht="42.75">
      <c r="A36" s="1" t="s">
        <v>45</v>
      </c>
      <c r="B36" s="1">
        <v>4.0042080560711302</v>
      </c>
      <c r="C36" s="1">
        <v>1.33307993940989</v>
      </c>
      <c r="D36" s="1">
        <v>-4.8429519213071598E-3</v>
      </c>
      <c r="E36" s="1">
        <v>2.1312538958118799</v>
      </c>
      <c r="F36" s="1">
        <v>40.529304613542102</v>
      </c>
      <c r="G36" s="1">
        <v>2.7522033580906998E-3</v>
      </c>
      <c r="H3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T38"/>
  <sheetViews>
    <sheetView zoomScale="99" zoomScaleNormal="99" workbookViewId="0">
      <selection sqref="A1:B1048576"/>
    </sheetView>
  </sheetViews>
  <sheetFormatPr defaultRowHeight="14.25"/>
  <cols>
    <col min="4" max="4" width="11.5" bestFit="1" customWidth="1"/>
  </cols>
  <sheetData>
    <row r="1" spans="1:20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/>
      <c r="L1" s="1"/>
      <c r="M1" s="1"/>
      <c r="N1" s="1"/>
      <c r="O1" s="1"/>
      <c r="P1" s="1"/>
      <c r="Q1" s="1"/>
      <c r="R1" s="1"/>
      <c r="S1" s="1"/>
      <c r="T1" s="1"/>
    </row>
    <row r="2" spans="1:20" ht="42.75">
      <c r="A2" s="1" t="s">
        <v>11</v>
      </c>
      <c r="B2" s="1">
        <v>8.2788867848109599E-2</v>
      </c>
      <c r="C2" s="1">
        <v>1.6201064661050599</v>
      </c>
      <c r="D2" s="1">
        <v>7.9009458966678402E-4</v>
      </c>
      <c r="E2" s="2">
        <v>3.7883289781573801E-5</v>
      </c>
      <c r="F2" s="1">
        <v>2.3966518061659001</v>
      </c>
      <c r="G2" s="1">
        <v>40.358092384738598</v>
      </c>
      <c r="H2" s="1">
        <v>6.4313486507170997E-4</v>
      </c>
      <c r="L2" s="1"/>
      <c r="M2" s="1"/>
      <c r="N2" s="1"/>
      <c r="O2" s="1"/>
      <c r="P2" s="1"/>
      <c r="Q2" s="1"/>
      <c r="R2" s="1"/>
      <c r="S2" s="1"/>
      <c r="T2" s="1"/>
    </row>
    <row r="3" spans="1:20" ht="42.75">
      <c r="A3" s="1" t="s">
        <v>12</v>
      </c>
      <c r="B3" s="1">
        <v>8.3275717539275304E-2</v>
      </c>
      <c r="C3" s="1">
        <v>1.61983562761508</v>
      </c>
      <c r="D3" s="1">
        <v>1.1200087289977899E-3</v>
      </c>
      <c r="E3" s="2">
        <v>-1.70940942511934E-6</v>
      </c>
      <c r="F3" s="1">
        <v>2.3942330925430202</v>
      </c>
      <c r="G3" s="1">
        <v>42.104884423720002</v>
      </c>
      <c r="H3" s="1">
        <v>1.1493051847343699E-3</v>
      </c>
      <c r="L3" s="1"/>
    </row>
    <row r="4" spans="1:20" ht="42.75">
      <c r="A4" s="1" t="s">
        <v>13</v>
      </c>
      <c r="B4" s="1">
        <v>8.2647130527365498E-2</v>
      </c>
      <c r="C4" s="1">
        <v>1.6200414713728299</v>
      </c>
      <c r="D4" s="1">
        <v>6.8440843195613802E-4</v>
      </c>
      <c r="E4" s="2">
        <v>5.4237477020878299E-5</v>
      </c>
      <c r="F4" s="1">
        <v>2.3962083117546502</v>
      </c>
      <c r="G4" s="1">
        <v>40.404079591862399</v>
      </c>
      <c r="H4" s="1">
        <v>1.00067195361415E-3</v>
      </c>
    </row>
    <row r="5" spans="1:20" ht="42.75">
      <c r="A5" s="1" t="s">
        <v>14</v>
      </c>
      <c r="B5" s="1">
        <v>8.2574146110371893E-2</v>
      </c>
      <c r="C5" s="1">
        <v>1.6198594818057499</v>
      </c>
      <c r="D5" s="1">
        <v>6.8108001881204505E-4</v>
      </c>
      <c r="E5" s="2">
        <v>5.4453627681355902E-5</v>
      </c>
      <c r="F5" s="1">
        <v>2.39555379468811</v>
      </c>
      <c r="G5" s="1">
        <v>42.340673988065802</v>
      </c>
      <c r="H5" s="1">
        <v>8.1847174767523496E-4</v>
      </c>
    </row>
    <row r="6" spans="1:20" ht="42.75">
      <c r="A6" s="1" t="s">
        <v>15</v>
      </c>
      <c r="B6" s="1">
        <v>8.23716711721698E-2</v>
      </c>
      <c r="C6" s="1">
        <v>1.6198443301399199</v>
      </c>
      <c r="D6" s="1">
        <v>7.7481504644868701E-4</v>
      </c>
      <c r="E6" s="2">
        <v>2.8641880118750099E-5</v>
      </c>
      <c r="F6" s="1">
        <v>2.3954082023473702</v>
      </c>
      <c r="G6" s="1">
        <v>41.377977264409402</v>
      </c>
      <c r="H6" s="1">
        <v>7.52209587495359E-4</v>
      </c>
    </row>
    <row r="7" spans="1:20" ht="42.75">
      <c r="A7" s="1" t="s">
        <v>16</v>
      </c>
      <c r="B7" s="1">
        <v>8.2532915515358393E-2</v>
      </c>
      <c r="C7" s="1">
        <v>1.6197044232872699</v>
      </c>
      <c r="D7" s="1">
        <v>1.1474603762782901E-3</v>
      </c>
      <c r="E7" s="2">
        <v>-1.19834465631219E-5</v>
      </c>
      <c r="F7" s="1">
        <v>2.14486622822439</v>
      </c>
      <c r="G7" s="1">
        <v>42.344268627458703</v>
      </c>
      <c r="H7" s="1">
        <v>1.1470673261929801E-3</v>
      </c>
    </row>
    <row r="8" spans="1:20" ht="42.75">
      <c r="A8" s="1" t="s">
        <v>17</v>
      </c>
      <c r="B8" s="1">
        <v>8.2694298166149094E-2</v>
      </c>
      <c r="C8" s="1">
        <v>1.6198746545175799</v>
      </c>
      <c r="D8" s="1">
        <v>1.0611074307966899E-3</v>
      </c>
      <c r="E8" s="2">
        <v>-7.5088152552855898E-6</v>
      </c>
      <c r="F8" s="1">
        <v>2.39569467462043</v>
      </c>
      <c r="G8" s="1">
        <v>42.249490011649499</v>
      </c>
      <c r="H8" s="1">
        <v>6.8106200488620599E-4</v>
      </c>
    </row>
    <row r="9" spans="1:20" ht="42.75">
      <c r="A9" s="1" t="s">
        <v>18</v>
      </c>
      <c r="B9" s="1">
        <v>8.2653296245640703E-2</v>
      </c>
      <c r="C9" s="1">
        <v>1.62350084108952</v>
      </c>
      <c r="D9" s="1">
        <v>1.1208199841096799E-3</v>
      </c>
      <c r="E9" s="2">
        <v>1.15713154860445E-5</v>
      </c>
      <c r="F9" s="1">
        <v>2.6487131796863501</v>
      </c>
      <c r="G9" s="1">
        <v>39.793860892501002</v>
      </c>
      <c r="H9" s="1">
        <v>5.7969744964733998E-4</v>
      </c>
    </row>
    <row r="10" spans="1:20" ht="42.75">
      <c r="A10" s="1" t="s">
        <v>19</v>
      </c>
      <c r="B10" s="1">
        <v>8.3314551683197596E-2</v>
      </c>
      <c r="C10" s="1">
        <v>1.6239805242455601</v>
      </c>
      <c r="D10" s="1">
        <v>1.19211779373671E-3</v>
      </c>
      <c r="E10" s="2">
        <v>-1.47392572695851E-5</v>
      </c>
      <c r="F10" s="1">
        <v>2.8564638831557101</v>
      </c>
      <c r="G10" s="1">
        <v>40.789362311009199</v>
      </c>
      <c r="H10" s="1">
        <v>7.5220644759128505E-4</v>
      </c>
    </row>
    <row r="11" spans="1:20" ht="42.75">
      <c r="A11" s="1" t="s">
        <v>20</v>
      </c>
      <c r="B11" s="1">
        <v>8.3433338441133195E-2</v>
      </c>
      <c r="C11" s="1">
        <v>1.62446194859036</v>
      </c>
      <c r="D11" s="1">
        <v>9.5153340410589096E-4</v>
      </c>
      <c r="E11" s="2">
        <v>2.2974559750219399E-5</v>
      </c>
      <c r="F11" s="1">
        <v>2.6469832230770001</v>
      </c>
      <c r="G11" s="1">
        <v>40.927400699824901</v>
      </c>
      <c r="H11" s="1">
        <v>9.5132643544981103E-4</v>
      </c>
    </row>
    <row r="12" spans="1:20" ht="42.75">
      <c r="A12" s="1" t="s">
        <v>21</v>
      </c>
      <c r="B12" s="1">
        <v>8.3208643584929701E-2</v>
      </c>
      <c r="C12" s="1">
        <v>1.62430809318148</v>
      </c>
      <c r="D12" s="1">
        <v>1.0035122222886101E-3</v>
      </c>
      <c r="E12" s="2">
        <v>4.0243907751170497E-5</v>
      </c>
      <c r="F12" s="1">
        <v>2.6455410129146402</v>
      </c>
      <c r="G12" s="1">
        <v>40.8480529497417</v>
      </c>
      <c r="H12" s="1">
        <v>7.5220768826737795E-4</v>
      </c>
    </row>
    <row r="13" spans="1:20" ht="42.75">
      <c r="A13" s="1" t="s">
        <v>22</v>
      </c>
      <c r="B13" s="1">
        <v>8.3420473796778499E-2</v>
      </c>
      <c r="C13" s="1">
        <v>1.62477629876114</v>
      </c>
      <c r="D13" s="1">
        <v>1.1116336638491301E-3</v>
      </c>
      <c r="E13" s="2">
        <v>-9.9613128905330105E-6</v>
      </c>
      <c r="F13" s="1">
        <v>2.6464111520025102</v>
      </c>
      <c r="G13" s="1">
        <v>39.899003906860202</v>
      </c>
      <c r="H13" s="1">
        <v>1.14591946134388E-3</v>
      </c>
    </row>
    <row r="14" spans="1:20" ht="42.75">
      <c r="A14" s="1" t="s">
        <v>23</v>
      </c>
      <c r="B14" s="1">
        <v>8.3107161558914899E-2</v>
      </c>
      <c r="C14" s="1">
        <v>1.62486422735943</v>
      </c>
      <c r="D14" s="1">
        <v>1.0427331838012901E-3</v>
      </c>
      <c r="E14" s="2">
        <v>8.9550238829479297E-6</v>
      </c>
      <c r="F14" s="1">
        <v>2.6451630354273901</v>
      </c>
      <c r="G14" s="1">
        <v>39.905542744157799</v>
      </c>
      <c r="H14" s="1">
        <v>5.8078143344807295E-4</v>
      </c>
    </row>
    <row r="15" spans="1:20" ht="42.75">
      <c r="A15" s="1" t="s">
        <v>24</v>
      </c>
      <c r="B15" s="1">
        <v>8.3039185267029303E-2</v>
      </c>
      <c r="C15" s="1">
        <v>1.62564222201577</v>
      </c>
      <c r="D15" s="1">
        <v>8.1502383110239297E-4</v>
      </c>
      <c r="E15" s="2">
        <v>4.0838120759855502E-5</v>
      </c>
      <c r="F15" s="1">
        <v>2.6460120774236602</v>
      </c>
      <c r="G15" s="1">
        <v>40.810961238208897</v>
      </c>
      <c r="H15" s="1">
        <v>6.0900650582167398E-4</v>
      </c>
    </row>
    <row r="16" spans="1:20" ht="42.75">
      <c r="A16" s="1" t="s">
        <v>25</v>
      </c>
      <c r="B16" s="1">
        <v>8.3538722608662797E-2</v>
      </c>
      <c r="C16" s="1">
        <v>1.62496427111479</v>
      </c>
      <c r="D16" s="1">
        <v>1.2154222328969E-3</v>
      </c>
      <c r="E16" s="2">
        <v>-2.2617714945597699E-5</v>
      </c>
      <c r="F16" s="1">
        <v>2.6463043362485101</v>
      </c>
      <c r="G16" s="1">
        <v>40.941218065706401</v>
      </c>
      <c r="H16" s="1">
        <v>7.5220971621754295E-4</v>
      </c>
    </row>
    <row r="17" spans="1:8" ht="42.75">
      <c r="A17" s="1" t="s">
        <v>26</v>
      </c>
      <c r="B17" s="1">
        <v>8.3535910062118204E-2</v>
      </c>
      <c r="C17" s="1">
        <v>1.6252221813656</v>
      </c>
      <c r="D17" s="1">
        <v>1.00142273410833E-3</v>
      </c>
      <c r="E17" s="2">
        <v>1.6165173725499801E-5</v>
      </c>
      <c r="F17" s="1">
        <v>2.64585222009006</v>
      </c>
      <c r="G17" s="1">
        <v>40.940933290880203</v>
      </c>
      <c r="H17" s="1">
        <v>7.5220871367623495E-4</v>
      </c>
    </row>
    <row r="18" spans="1:8" ht="42.75">
      <c r="A18" s="1" t="s">
        <v>27</v>
      </c>
      <c r="B18" s="1">
        <v>8.3082835466929905E-2</v>
      </c>
      <c r="C18" s="1">
        <v>1.6248694903974701</v>
      </c>
      <c r="D18" s="1">
        <v>6.2295334582414101E-4</v>
      </c>
      <c r="E18" s="2">
        <v>6.6553208117818997E-5</v>
      </c>
      <c r="F18" s="1">
        <v>2.6449795008878501</v>
      </c>
      <c r="G18" s="1">
        <v>41.210784936626098</v>
      </c>
      <c r="H18" s="1">
        <v>5.8657249657950001E-4</v>
      </c>
    </row>
    <row r="19" spans="1:8" ht="42.75">
      <c r="A19" s="1" t="s">
        <v>28</v>
      </c>
      <c r="B19" s="1">
        <v>8.2670956206444698E-2</v>
      </c>
      <c r="C19" s="1">
        <v>1.6200155354838199</v>
      </c>
      <c r="D19" s="1">
        <v>8.1771885358426896E-4</v>
      </c>
      <c r="E19" s="2">
        <v>2.3799624873818999E-5</v>
      </c>
      <c r="F19" s="1">
        <v>2.3949581256083499</v>
      </c>
      <c r="G19" s="1">
        <v>42.468990585043002</v>
      </c>
      <c r="H19" s="1">
        <v>1.0175574043783701E-3</v>
      </c>
    </row>
    <row r="20" spans="1:8" ht="42.75">
      <c r="A20" s="1" t="s">
        <v>46</v>
      </c>
      <c r="B20" s="1">
        <v>8.22329018284189E-2</v>
      </c>
      <c r="C20" s="1">
        <v>1.6208958749307201</v>
      </c>
      <c r="D20" s="1">
        <v>6.6126506060004296E-4</v>
      </c>
      <c r="E20" s="2">
        <v>4.1305106033644801E-5</v>
      </c>
      <c r="F20" s="1">
        <v>2.1709266461248098</v>
      </c>
      <c r="G20" s="1">
        <v>40.460723470330102</v>
      </c>
      <c r="H20" s="1">
        <v>5.9286624724858201E-4</v>
      </c>
    </row>
    <row r="21" spans="1:8" ht="42.75">
      <c r="A21" s="1" t="s">
        <v>29</v>
      </c>
      <c r="B21" s="1">
        <v>8.1803833529134007E-2</v>
      </c>
      <c r="C21" s="1">
        <v>1.6212067557749299</v>
      </c>
      <c r="D21" s="1">
        <v>7.1738692684873403E-4</v>
      </c>
      <c r="E21" s="2">
        <v>2.74880154209467E-5</v>
      </c>
      <c r="F21" s="1">
        <v>2.3953651756805399</v>
      </c>
      <c r="G21" s="1">
        <v>41.420068766735803</v>
      </c>
      <c r="H21" s="1">
        <v>7.5220697565547595E-4</v>
      </c>
    </row>
    <row r="22" spans="1:8" ht="42.75">
      <c r="A22" s="1" t="s">
        <v>47</v>
      </c>
      <c r="B22" s="1">
        <v>8.2226095621156195E-2</v>
      </c>
      <c r="C22" s="1">
        <v>1.62000271823762</v>
      </c>
      <c r="D22" s="1">
        <v>1.16571404683784E-3</v>
      </c>
      <c r="E22" s="2">
        <v>-4.22301697655647E-6</v>
      </c>
      <c r="F22" s="1">
        <v>2.3952682079702798</v>
      </c>
      <c r="G22" s="1">
        <v>42.186606476606698</v>
      </c>
      <c r="H22" s="1">
        <v>8.03056382404393E-4</v>
      </c>
    </row>
    <row r="23" spans="1:8" ht="42.75">
      <c r="A23" s="1" t="s">
        <v>30</v>
      </c>
      <c r="B23" s="1">
        <v>8.1619568336985804E-2</v>
      </c>
      <c r="C23" s="1">
        <v>1.62024450916637</v>
      </c>
      <c r="D23" s="1">
        <v>1.05982624252412E-3</v>
      </c>
      <c r="E23" s="2">
        <v>-1.3529141064933799E-5</v>
      </c>
      <c r="F23" s="1">
        <v>2.3956309043518398</v>
      </c>
      <c r="G23" s="1">
        <v>40.294805692967003</v>
      </c>
      <c r="H23" s="1">
        <v>6.6748383189488703E-4</v>
      </c>
    </row>
    <row r="24" spans="1:8" ht="42.75">
      <c r="A24" s="1" t="s">
        <v>31</v>
      </c>
      <c r="B24" s="1">
        <v>8.3156282475135901E-2</v>
      </c>
      <c r="C24" s="1">
        <v>1.6246517474351401</v>
      </c>
      <c r="D24" s="1">
        <v>1.2832394093051001E-3</v>
      </c>
      <c r="E24" s="2">
        <v>-4.5039025450265098E-5</v>
      </c>
      <c r="F24" s="1">
        <v>2.6451349772380799</v>
      </c>
      <c r="G24" s="1">
        <v>41.462671395556001</v>
      </c>
      <c r="H24" s="1">
        <v>1.1570801635473701E-3</v>
      </c>
    </row>
    <row r="25" spans="1:8" ht="42.75">
      <c r="A25" s="1" t="s">
        <v>32</v>
      </c>
      <c r="B25" s="1">
        <v>8.3308052923752804E-2</v>
      </c>
      <c r="C25" s="1">
        <v>1.62375786770658</v>
      </c>
      <c r="D25" s="1">
        <v>1.3305457179744299E-3</v>
      </c>
      <c r="E25" s="2">
        <v>-4.00517488312179E-5</v>
      </c>
      <c r="F25" s="1">
        <v>2.89619969520915</v>
      </c>
      <c r="G25" s="1">
        <v>40.593777624199902</v>
      </c>
      <c r="H25" s="1">
        <v>7.5220839565440299E-4</v>
      </c>
    </row>
    <row r="26" spans="1:8" ht="42.75">
      <c r="A26" s="1" t="s">
        <v>33</v>
      </c>
      <c r="B26" s="1">
        <v>8.3192433829034101E-2</v>
      </c>
      <c r="C26" s="1">
        <v>1.62445657349427</v>
      </c>
      <c r="D26" s="1">
        <v>1.1488949262361599E-3</v>
      </c>
      <c r="E26" s="2">
        <v>-1.3036912286815E-5</v>
      </c>
      <c r="F26" s="1">
        <v>2.6455059000260901</v>
      </c>
      <c r="G26" s="1">
        <v>40.896825551143003</v>
      </c>
      <c r="H26" s="1">
        <v>1.13711272159249E-3</v>
      </c>
    </row>
    <row r="27" spans="1:8" ht="42.75">
      <c r="A27" s="1" t="s">
        <v>34</v>
      </c>
      <c r="B27" s="1">
        <v>8.3623706474663606E-2</v>
      </c>
      <c r="C27" s="1">
        <v>1.62388373467633</v>
      </c>
      <c r="D27" s="1">
        <v>1.3211340143322401E-3</v>
      </c>
      <c r="E27" s="2">
        <v>-3.4790584613092498E-5</v>
      </c>
      <c r="F27" s="1">
        <v>2.89717815983379</v>
      </c>
      <c r="G27" s="1">
        <v>40.632491852446101</v>
      </c>
      <c r="H27" s="1">
        <v>1.13227516096914E-3</v>
      </c>
    </row>
    <row r="28" spans="1:8" ht="42.75">
      <c r="A28" s="1" t="s">
        <v>35</v>
      </c>
      <c r="B28" s="1">
        <v>8.3216917778572402E-2</v>
      </c>
      <c r="C28" s="1">
        <v>1.62447539983621</v>
      </c>
      <c r="D28" s="1">
        <v>1.1619972120418399E-3</v>
      </c>
      <c r="E28" s="2">
        <v>-6.8861837271727797E-6</v>
      </c>
      <c r="F28" s="1">
        <v>2.8947230935883499</v>
      </c>
      <c r="G28" s="1">
        <v>40.688720073791103</v>
      </c>
      <c r="H28" s="1">
        <v>7.5220731804934702E-4</v>
      </c>
    </row>
    <row r="29" spans="1:8" ht="42.75">
      <c r="A29" s="1" t="s">
        <v>36</v>
      </c>
      <c r="B29" s="1">
        <v>8.3221177215463099E-2</v>
      </c>
      <c r="C29" s="1">
        <v>1.6240658175753799</v>
      </c>
      <c r="D29" s="1">
        <v>1.34611239648697E-3</v>
      </c>
      <c r="E29" s="2">
        <v>-3.8973982051738203E-5</v>
      </c>
      <c r="F29" s="1">
        <v>2.8949209914724099</v>
      </c>
      <c r="G29" s="1">
        <v>40.329378683577097</v>
      </c>
      <c r="H29" s="1">
        <v>7.5660709584838897E-4</v>
      </c>
    </row>
    <row r="30" spans="1:8" ht="42.75">
      <c r="A30" s="1" t="s">
        <v>37</v>
      </c>
      <c r="B30" s="1">
        <v>8.33781973276186E-2</v>
      </c>
      <c r="C30" s="1">
        <v>1.62401974426023</v>
      </c>
      <c r="D30" s="1">
        <v>1.0979108637087199E-3</v>
      </c>
      <c r="E30" s="2">
        <v>6.4089692879704E-6</v>
      </c>
      <c r="F30" s="1">
        <v>2.6452982335850099</v>
      </c>
      <c r="G30" s="1">
        <v>41.214238544996803</v>
      </c>
      <c r="H30" s="1">
        <v>1.08040681674856E-3</v>
      </c>
    </row>
    <row r="31" spans="1:8" ht="42.75">
      <c r="A31" s="1" t="s">
        <v>38</v>
      </c>
      <c r="B31" s="1">
        <v>8.33668584997104E-2</v>
      </c>
      <c r="C31" s="1">
        <v>1.62396843192504</v>
      </c>
      <c r="D31" s="1">
        <v>1.1956276763198401E-3</v>
      </c>
      <c r="E31" s="2">
        <v>-1.26144128146059E-5</v>
      </c>
      <c r="F31" s="1">
        <v>2.6477043125223498</v>
      </c>
      <c r="G31" s="1">
        <v>40.672324248678201</v>
      </c>
      <c r="H31" s="1">
        <v>5.7862408946219202E-4</v>
      </c>
    </row>
    <row r="32" spans="1:8" ht="42.75">
      <c r="A32" s="1" t="s">
        <v>39</v>
      </c>
      <c r="B32" s="1">
        <v>8.3201985411368501E-2</v>
      </c>
      <c r="C32" s="1">
        <v>1.62534447696757</v>
      </c>
      <c r="D32" s="1">
        <v>1.0570390030800801E-3</v>
      </c>
      <c r="E32" s="2">
        <v>-3.4741554776058601E-6</v>
      </c>
      <c r="F32" s="1">
        <v>2.3949796634584</v>
      </c>
      <c r="G32" s="1">
        <v>40.941252698427299</v>
      </c>
      <c r="H32" s="1">
        <v>7.5220879266188598E-4</v>
      </c>
    </row>
    <row r="33" spans="1:8" ht="42.75">
      <c r="A33" s="1" t="s">
        <v>40</v>
      </c>
      <c r="B33" s="1">
        <v>8.3110318912883605E-2</v>
      </c>
      <c r="C33" s="1">
        <v>1.6246767088488201</v>
      </c>
      <c r="D33" s="1">
        <v>9.6775230495947499E-4</v>
      </c>
      <c r="E33" s="2">
        <v>1.2811293098655901E-5</v>
      </c>
      <c r="F33" s="1">
        <v>2.6469496727777599</v>
      </c>
      <c r="G33" s="1">
        <v>40.037296507075901</v>
      </c>
      <c r="H33" s="1">
        <v>9.2856514840207905E-4</v>
      </c>
    </row>
    <row r="34" spans="1:8" ht="42.75">
      <c r="A34" s="1" t="s">
        <v>41</v>
      </c>
      <c r="B34" s="1">
        <v>8.2031859042136696E-2</v>
      </c>
      <c r="C34" s="1">
        <v>1.62117967101831</v>
      </c>
      <c r="D34" s="1">
        <v>7.4081403150172604E-4</v>
      </c>
      <c r="E34" s="2">
        <v>5.6192417281096199E-5</v>
      </c>
      <c r="F34" s="1">
        <v>2.6457261551801898</v>
      </c>
      <c r="G34" s="1">
        <v>39.967050487409502</v>
      </c>
      <c r="H34" s="1">
        <v>5.91413844397934E-4</v>
      </c>
    </row>
    <row r="35" spans="1:8" ht="42.75">
      <c r="A35" s="1" t="s">
        <v>42</v>
      </c>
      <c r="B35" s="1">
        <v>8.2441921487811098E-2</v>
      </c>
      <c r="C35" s="1">
        <v>1.62085950749531</v>
      </c>
      <c r="D35" s="1">
        <v>7.4047369634396498E-4</v>
      </c>
      <c r="E35" s="2">
        <v>4.5377426729487801E-5</v>
      </c>
      <c r="F35" s="1">
        <v>2.6459057456238302</v>
      </c>
      <c r="G35" s="1">
        <v>41.021281712544699</v>
      </c>
      <c r="H35" s="1">
        <v>7.5220769703127804E-4</v>
      </c>
    </row>
    <row r="36" spans="1:8" ht="42.75">
      <c r="A36" s="1" t="s">
        <v>43</v>
      </c>
      <c r="B36" s="1">
        <v>8.2431599113651E-2</v>
      </c>
      <c r="C36" s="1">
        <v>1.6207551046439601</v>
      </c>
      <c r="D36" s="1">
        <v>4.5136333774447901E-4</v>
      </c>
      <c r="E36" s="2">
        <v>9.1475583453467195E-5</v>
      </c>
      <c r="F36" s="1">
        <v>2.6448975819871401</v>
      </c>
      <c r="G36" s="1">
        <v>41.129512935157301</v>
      </c>
      <c r="H36" s="1">
        <v>7.5221021777261603E-4</v>
      </c>
    </row>
    <row r="37" spans="1:8" ht="42.75">
      <c r="A37" s="1" t="s">
        <v>44</v>
      </c>
      <c r="B37" s="1">
        <v>8.3008569433927301E-2</v>
      </c>
      <c r="C37" s="1">
        <v>1.62037111978291</v>
      </c>
      <c r="D37" s="1">
        <v>9.3384052361766595E-4</v>
      </c>
      <c r="E37" s="2">
        <v>1.56159530632519E-5</v>
      </c>
      <c r="F37" s="1">
        <v>2.3956082969512398</v>
      </c>
      <c r="G37" s="1">
        <v>41.202154939667999</v>
      </c>
      <c r="H37" s="1">
        <v>7.5220882716310296E-4</v>
      </c>
    </row>
    <row r="38" spans="1:8" ht="42.75">
      <c r="A38" s="1" t="s">
        <v>45</v>
      </c>
      <c r="B38" s="1">
        <v>8.2766374795728306E-2</v>
      </c>
      <c r="C38" s="1">
        <v>1.6201546919669101</v>
      </c>
      <c r="D38" s="1">
        <v>9.0910924833357903E-4</v>
      </c>
      <c r="E38" s="2">
        <v>1.70131664205842E-5</v>
      </c>
      <c r="F38" s="1">
        <v>2.3957416806344698</v>
      </c>
      <c r="G38" s="1">
        <v>41.978791003323103</v>
      </c>
      <c r="H38" s="1">
        <v>1.09810641610964E-3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G36"/>
  <sheetViews>
    <sheetView tabSelected="1" workbookViewId="0">
      <selection activeCell="H5" sqref="H5"/>
    </sheetView>
  </sheetViews>
  <sheetFormatPr defaultRowHeight="14.25"/>
  <cols>
    <col min="1" max="1" width="27.875" customWidth="1"/>
  </cols>
  <sheetData>
    <row r="1" spans="1:7">
      <c r="A1" s="1" t="s">
        <v>0</v>
      </c>
      <c r="B1" s="1" t="s">
        <v>4</v>
      </c>
      <c r="C1" s="1" t="s">
        <v>4</v>
      </c>
    </row>
    <row r="2" spans="1:7">
      <c r="A2" s="1" t="s">
        <v>31</v>
      </c>
      <c r="B2" s="1">
        <v>4.0504847360743401</v>
      </c>
      <c r="C2" s="1">
        <v>8.3156282475135901E-2</v>
      </c>
      <c r="F2">
        <v>894</v>
      </c>
      <c r="G2">
        <v>456</v>
      </c>
    </row>
    <row r="3" spans="1:7">
      <c r="A3" s="1" t="s">
        <v>32</v>
      </c>
      <c r="B3" s="1">
        <v>4.0496768121653703</v>
      </c>
      <c r="C3" s="1">
        <v>8.3308052923752804E-2</v>
      </c>
      <c r="E3" t="s">
        <v>1</v>
      </c>
      <c r="F3">
        <f>AVERAGE(B2:B36)</f>
        <v>4.0235476991978185</v>
      </c>
      <c r="G3">
        <f>AVERAGE(C2:C36)</f>
        <v>8.2936270811090188E-2</v>
      </c>
    </row>
    <row r="4" spans="1:7">
      <c r="A4" s="1" t="s">
        <v>33</v>
      </c>
      <c r="B4" s="1">
        <v>4.0401570007949097</v>
      </c>
      <c r="C4" s="1">
        <v>8.3192433829034101E-2</v>
      </c>
      <c r="E4" t="s">
        <v>2</v>
      </c>
      <c r="F4">
        <f>_xlfn.STDEV.S(B2:B36)</f>
        <v>2.2656563072767793E-2</v>
      </c>
      <c r="G4">
        <f>_xlfn.STDEV.S(C2:C36)</f>
        <v>4.9284213581769548E-4</v>
      </c>
    </row>
    <row r="5" spans="1:7">
      <c r="A5" s="1" t="s">
        <v>34</v>
      </c>
      <c r="B5" s="1">
        <v>4.0452933053436704</v>
      </c>
      <c r="C5" s="1">
        <v>8.3623706474663606E-2</v>
      </c>
      <c r="E5" t="s">
        <v>3</v>
      </c>
      <c r="F5">
        <f>F4/F3/SQRT(COUNT(B2:B37))</f>
        <v>9.5181129242197476E-4</v>
      </c>
      <c r="G5">
        <f>G4/G3/SQRT(COUNT(C2:C37))</f>
        <v>1.0044522714183018E-3</v>
      </c>
    </row>
    <row r="6" spans="1:7">
      <c r="A6" s="1" t="s">
        <v>35</v>
      </c>
      <c r="B6" s="1">
        <v>4.0393053513377497</v>
      </c>
      <c r="C6" s="1">
        <v>8.3216917778572402E-2</v>
      </c>
    </row>
    <row r="7" spans="1:7">
      <c r="A7" s="1" t="s">
        <v>36</v>
      </c>
      <c r="B7" s="1">
        <v>4.0427869051265404</v>
      </c>
      <c r="C7" s="1">
        <v>8.3221177215463099E-2</v>
      </c>
    </row>
    <row r="8" spans="1:7">
      <c r="A8" s="1" t="s">
        <v>37</v>
      </c>
      <c r="B8" s="1">
        <v>4.0371132630075302</v>
      </c>
      <c r="C8" s="1">
        <v>8.33781973276186E-2</v>
      </c>
    </row>
    <row r="9" spans="1:7">
      <c r="A9" s="1" t="s">
        <v>38</v>
      </c>
      <c r="B9" s="1">
        <v>4.0301105995964903</v>
      </c>
      <c r="C9" s="1">
        <v>8.33668584997104E-2</v>
      </c>
    </row>
    <row r="10" spans="1:7">
      <c r="A10" s="1" t="s">
        <v>18</v>
      </c>
      <c r="B10" s="1">
        <v>4.0520999190004696</v>
      </c>
      <c r="C10" s="1">
        <v>8.2653296245640703E-2</v>
      </c>
    </row>
    <row r="11" spans="1:7">
      <c r="A11" s="1" t="s">
        <v>19</v>
      </c>
      <c r="B11" s="1">
        <v>4.0532303423785203</v>
      </c>
      <c r="C11" s="1">
        <v>8.3314551683197596E-2</v>
      </c>
    </row>
    <row r="12" spans="1:7">
      <c r="A12" s="1" t="s">
        <v>20</v>
      </c>
      <c r="B12" s="1">
        <v>4.0597656945719098</v>
      </c>
      <c r="C12" s="1">
        <v>8.3433338441133195E-2</v>
      </c>
    </row>
    <row r="13" spans="1:7">
      <c r="A13" s="1" t="s">
        <v>21</v>
      </c>
      <c r="B13" s="1">
        <v>4.0397313521665303</v>
      </c>
      <c r="C13" s="1">
        <v>8.3208643584929701E-2</v>
      </c>
    </row>
    <row r="14" spans="1:7">
      <c r="A14" s="1" t="s">
        <v>22</v>
      </c>
      <c r="B14" s="1">
        <v>4.0389446603470498</v>
      </c>
      <c r="C14" s="1">
        <v>8.3420473796778499E-2</v>
      </c>
    </row>
    <row r="15" spans="1:7">
      <c r="A15" s="1" t="s">
        <v>23</v>
      </c>
      <c r="B15" s="1">
        <v>4.0491521884945199</v>
      </c>
      <c r="C15" s="1">
        <v>8.3107161558914899E-2</v>
      </c>
    </row>
    <row r="16" spans="1:7">
      <c r="A16" s="1" t="s">
        <v>24</v>
      </c>
      <c r="B16" s="1">
        <v>4.0282207799584802</v>
      </c>
      <c r="C16" s="1">
        <v>8.3039185267029303E-2</v>
      </c>
    </row>
    <row r="17" spans="1:3">
      <c r="A17" s="1" t="s">
        <v>25</v>
      </c>
      <c r="B17" s="1">
        <v>4.0373666399902799</v>
      </c>
      <c r="C17" s="1">
        <v>8.3538722608662797E-2</v>
      </c>
    </row>
    <row r="18" spans="1:3">
      <c r="A18" s="1" t="s">
        <v>26</v>
      </c>
      <c r="B18" s="1">
        <v>4.0254616281370303</v>
      </c>
      <c r="C18" s="1">
        <v>8.3535910062118204E-2</v>
      </c>
    </row>
    <row r="19" spans="1:3">
      <c r="A19" s="1" t="s">
        <v>27</v>
      </c>
      <c r="B19" s="1">
        <v>4.0346044905874798</v>
      </c>
      <c r="C19" s="1">
        <v>8.3082835466929905E-2</v>
      </c>
    </row>
    <row r="20" spans="1:3">
      <c r="A20" s="1" t="s">
        <v>39</v>
      </c>
      <c r="B20" s="1">
        <v>4.0220126763814203</v>
      </c>
      <c r="C20" s="1">
        <v>8.3201985411368501E-2</v>
      </c>
    </row>
    <row r="21" spans="1:3">
      <c r="A21" s="1" t="s">
        <v>40</v>
      </c>
      <c r="B21" s="1">
        <v>4.0377589881580498</v>
      </c>
      <c r="C21" s="1">
        <v>8.3110318912883605E-2</v>
      </c>
    </row>
    <row r="22" spans="1:3">
      <c r="A22" s="1" t="s">
        <v>41</v>
      </c>
      <c r="B22" s="1">
        <v>4.0016969711271004</v>
      </c>
      <c r="C22" s="1">
        <v>8.2031859042136696E-2</v>
      </c>
    </row>
    <row r="23" spans="1:3">
      <c r="A23" s="1" t="s">
        <v>42</v>
      </c>
      <c r="B23" s="1">
        <v>3.9850777599500198</v>
      </c>
      <c r="C23" s="1">
        <v>8.2441921487811098E-2</v>
      </c>
    </row>
    <row r="24" spans="1:3">
      <c r="A24" s="1" t="s">
        <v>43</v>
      </c>
      <c r="B24" s="1">
        <v>4.0132441168710704</v>
      </c>
      <c r="C24" s="1">
        <v>8.2431599113651E-2</v>
      </c>
    </row>
    <row r="25" spans="1:3">
      <c r="A25" s="1" t="s">
        <v>44</v>
      </c>
      <c r="B25" s="1">
        <v>4.0107044449171996</v>
      </c>
      <c r="C25" s="1">
        <v>8.3008569433927301E-2</v>
      </c>
    </row>
    <row r="26" spans="1:3">
      <c r="A26" s="1" t="s">
        <v>45</v>
      </c>
      <c r="B26" s="1">
        <v>4.0042080560711302</v>
      </c>
      <c r="C26" s="1">
        <v>8.2766374795728306E-2</v>
      </c>
    </row>
    <row r="27" spans="1:3">
      <c r="A27" s="1" t="s">
        <v>11</v>
      </c>
      <c r="B27" s="1">
        <v>4.0137738076926297</v>
      </c>
      <c r="C27" s="1">
        <v>8.2788867848109599E-2</v>
      </c>
    </row>
    <row r="28" spans="1:3">
      <c r="A28" s="1" t="s">
        <v>12</v>
      </c>
      <c r="B28" s="1">
        <v>4.0189067438591497</v>
      </c>
      <c r="C28" s="1">
        <v>8.3275717539275304E-2</v>
      </c>
    </row>
    <row r="29" spans="1:3">
      <c r="A29" s="1" t="s">
        <v>13</v>
      </c>
      <c r="B29" s="1">
        <v>4.0019418304313801</v>
      </c>
      <c r="C29" s="1">
        <v>8.2647130527365498E-2</v>
      </c>
    </row>
    <row r="30" spans="1:3">
      <c r="A30" s="1" t="s">
        <v>14</v>
      </c>
      <c r="B30" s="1">
        <v>4.0058057955871602</v>
      </c>
      <c r="C30" s="1">
        <v>8.2574146110371893E-2</v>
      </c>
    </row>
    <row r="31" spans="1:3">
      <c r="A31" s="1" t="s">
        <v>15</v>
      </c>
      <c r="B31" s="1">
        <v>4.0060301681826802</v>
      </c>
      <c r="C31" s="1">
        <v>8.23716711721698E-2</v>
      </c>
    </row>
    <row r="32" spans="1:3">
      <c r="A32" s="1" t="s">
        <v>16</v>
      </c>
      <c r="B32" s="1">
        <v>3.99829105994908</v>
      </c>
      <c r="C32" s="1">
        <v>8.2532915515358393E-2</v>
      </c>
    </row>
    <row r="33" spans="1:3">
      <c r="A33" s="1" t="s">
        <v>17</v>
      </c>
      <c r="B33" s="1">
        <v>3.9906830558389799</v>
      </c>
      <c r="C33" s="1">
        <v>8.2694298166149094E-2</v>
      </c>
    </row>
    <row r="34" spans="1:3">
      <c r="A34" s="1" t="s">
        <v>28</v>
      </c>
      <c r="B34" s="1">
        <v>3.99736506566357</v>
      </c>
      <c r="C34" s="1">
        <v>8.2670956206444698E-2</v>
      </c>
    </row>
    <row r="35" spans="1:3">
      <c r="A35" s="1" t="s">
        <v>29</v>
      </c>
      <c r="B35" s="1">
        <v>3.98390122498571</v>
      </c>
      <c r="C35" s="1">
        <v>8.1803833529134007E-2</v>
      </c>
    </row>
    <row r="36" spans="1:3">
      <c r="A36" s="1" t="s">
        <v>30</v>
      </c>
      <c r="B36" s="1">
        <v>3.9792620371784699</v>
      </c>
      <c r="C36" s="1">
        <v>8.1619568336985804E-2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894</vt:lpstr>
      <vt:lpstr>456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2026-06-24T14:26:48Z</dcterms:created>
  <dcterms:modified xsi:type="dcterms:W3CDTF">2026-07-16T22:14:35Z</dcterms:modified>
</cp:coreProperties>
</file>