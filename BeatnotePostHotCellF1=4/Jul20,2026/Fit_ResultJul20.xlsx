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F1=4\Jul20,2026\"/>
    </mc:Choice>
  </mc:AlternateContent>
  <xr:revisionPtr revIDLastSave="0" documentId="13_ncr:1_{F013C4F4-20E5-48D9-8DC1-009D8D513670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3" l="1"/>
  <c r="H5" i="3"/>
  <c r="H6" i="3"/>
  <c r="G4" i="3"/>
  <c r="G5" i="3"/>
  <c r="G6" i="3" l="1"/>
</calcChain>
</file>

<file path=xl/sharedStrings.xml><?xml version="1.0" encoding="utf-8"?>
<sst xmlns="http://schemas.openxmlformats.org/spreadsheetml/2006/main" count="117" uniqueCount="46">
  <si>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</si>
  <si>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</si>
  <si>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</si>
  <si>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</si>
  <si>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</si>
  <si>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</si>
  <si>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</si>
  <si>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</si>
  <si>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</si>
  <si>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</si>
  <si>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</si>
  <si>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Jul20,2026+1-02-19PM</t>
  </si>
  <si>
    <t>Jul20,2026+1-10-02PM</t>
  </si>
  <si>
    <t>Jul20,2026+1-17-52PM</t>
  </si>
  <si>
    <t>Jul20,2026+1-25-36PM</t>
  </si>
  <si>
    <t>Jul20,2026+1-46-04PM</t>
  </si>
  <si>
    <t>Jul20,2026+10-12-30AM</t>
  </si>
  <si>
    <t>Jul20,2026+10-41-07AM</t>
  </si>
  <si>
    <t>Jul20,2026+10-50-14AM</t>
  </si>
  <si>
    <t>Jul20,2026+11-07-43AM</t>
  </si>
  <si>
    <t>Jul20,2026+11-22-46AM</t>
  </si>
  <si>
    <t>Jul20,2026+11-34-16AM</t>
  </si>
  <si>
    <t>Jul20,2026+12-00-50PM</t>
  </si>
  <si>
    <t>Jul20,2026+12-08-44PM</t>
  </si>
  <si>
    <t>Jul20,2026+12-16-50PM</t>
  </si>
  <si>
    <t>Jul20,2026+12-36-12PM</t>
  </si>
  <si>
    <t>Jul20,2026+12-46-27PM</t>
  </si>
  <si>
    <t>Jul20,2026+12-54-20PM</t>
  </si>
  <si>
    <t>Jul20,2026+2-51-19PM</t>
  </si>
  <si>
    <t>Jul20,2026+3-10-27PM</t>
  </si>
  <si>
    <t>Jul20,2026+3-25-37PM</t>
  </si>
  <si>
    <t>Jul20,2026+3-39-36PM</t>
  </si>
  <si>
    <t>Jul20,2026+3-47-19PM</t>
  </si>
  <si>
    <t>Jul20,2026+4-00-07PM</t>
  </si>
  <si>
    <t>Jul20,2026+4-10-22PM</t>
  </si>
  <si>
    <t>Jul20,2026+8-55-20AM</t>
  </si>
  <si>
    <t>Jul20,2026+9-11-06AM</t>
  </si>
  <si>
    <t>Jul20,2026+9-22-21AM</t>
  </si>
  <si>
    <t>Jul20,2026+9-31-37AM</t>
  </si>
  <si>
    <t>Jul20,2026+9-39-29AM</t>
  </si>
  <si>
    <t>Jul20,2026+9-47-32AM</t>
  </si>
  <si>
    <t>Jul20,2026+12-25-02PM</t>
  </si>
  <si>
    <t>Jul20,2026+3-02-45PM</t>
  </si>
  <si>
    <t>Jul20,2026+8-46-56AM</t>
  </si>
  <si>
    <t>Jul20,2026+9-03-07AM</t>
  </si>
  <si>
    <t>Jul20,2026+9-58-24AM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</si>
</sst>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6"/>
  <sheetViews>
    <sheetView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ht="42.75">
      <c r="A2" s="1" t="s">
        <v>11</v>
      </c>
      <c r="B2" s="1">
        <v>5.9753311000708296</v>
      </c>
      <c r="C2" s="1">
        <v>1.3334401491928101</v>
      </c>
      <c r="D2" s="1">
        <v>-3.7510535559341302E-3</v>
      </c>
      <c r="E2" s="1">
        <v>2.0506039402992302</v>
      </c>
      <c r="F2" s="1">
        <v>39.756308770001901</v>
      </c>
      <c r="G2" s="1">
        <v>2.2873004957116999E-3</v>
      </c>
      <c r="H2" s="1"/>
      <c r="L2" s="1"/>
      <c r="M2" s="1"/>
      <c r="U2" s="1"/>
    </row>
    <row r="3" spans="1:22" ht="42.75">
      <c r="A3" s="1" t="s">
        <v>12</v>
      </c>
      <c r="B3" s="1">
        <v>5.95595351810669</v>
      </c>
      <c r="C3" s="1">
        <v>1.3386371129446999</v>
      </c>
      <c r="D3" s="1">
        <v>-4.1278589910940704E-3</v>
      </c>
      <c r="E3" s="1">
        <v>2.0511811675944198</v>
      </c>
      <c r="F3" s="1">
        <v>40.411300369101397</v>
      </c>
      <c r="G3" s="1">
        <v>2.4345844045202398E-3</v>
      </c>
      <c r="H3" s="1"/>
      <c r="U3" s="1"/>
      <c r="V3" s="1"/>
    </row>
    <row r="4" spans="1:22" ht="42.75">
      <c r="A4" s="1" t="s">
        <v>13</v>
      </c>
      <c r="B4" s="1">
        <v>5.9436339167314696</v>
      </c>
      <c r="C4" s="1">
        <v>1.3446994809900501</v>
      </c>
      <c r="D4" s="1">
        <v>-4.8569747183602003E-3</v>
      </c>
      <c r="E4" s="1">
        <v>2.0508592498502498</v>
      </c>
      <c r="F4" s="1">
        <v>39.8054568700353</v>
      </c>
      <c r="G4" s="1">
        <v>2.2873004957020202E-3</v>
      </c>
      <c r="H4" s="1"/>
      <c r="U4" s="1"/>
    </row>
    <row r="5" spans="1:22" ht="42.75">
      <c r="A5" s="1" t="s">
        <v>14</v>
      </c>
      <c r="B5" s="1">
        <v>5.9680724903054401</v>
      </c>
      <c r="C5" s="1">
        <v>1.34241123630117</v>
      </c>
      <c r="D5" s="1">
        <v>-4.8921892640981799E-3</v>
      </c>
      <c r="E5" s="1">
        <v>2.05050155475007</v>
      </c>
      <c r="F5" s="1">
        <v>39.815803540492503</v>
      </c>
      <c r="G5" s="1">
        <v>2.6392346465541599E-3</v>
      </c>
      <c r="H5" s="1"/>
      <c r="U5" s="1"/>
    </row>
    <row r="6" spans="1:22" ht="42.75">
      <c r="A6" s="1" t="s">
        <v>15</v>
      </c>
      <c r="B6" s="1">
        <v>5.97890051441588</v>
      </c>
      <c r="C6" s="1">
        <v>1.3415148049418799</v>
      </c>
      <c r="D6" s="1">
        <v>-4.4626435310687598E-3</v>
      </c>
      <c r="E6" s="1">
        <v>2.05013996734528</v>
      </c>
      <c r="F6" s="1">
        <v>39.835878276818001</v>
      </c>
      <c r="G6" s="1">
        <v>2.7560549570472899E-3</v>
      </c>
      <c r="H6" s="1"/>
      <c r="U6" s="1"/>
    </row>
    <row r="7" spans="1:22" ht="42.75">
      <c r="A7" s="1" t="s">
        <v>16</v>
      </c>
      <c r="B7" s="1">
        <v>5.9553030366034303</v>
      </c>
      <c r="C7" s="1">
        <v>1.34849411389999</v>
      </c>
      <c r="D7" s="1">
        <v>-3.9691399350991899E-3</v>
      </c>
      <c r="E7" s="1">
        <v>2.0505553566588599</v>
      </c>
      <c r="F7" s="1">
        <v>39.397783079347299</v>
      </c>
      <c r="G7" s="1">
        <v>2.4562145435234298E-3</v>
      </c>
      <c r="H7" s="1"/>
      <c r="U7" s="1"/>
    </row>
    <row r="8" spans="1:22" ht="42.75">
      <c r="A8" s="1" t="s">
        <v>17</v>
      </c>
      <c r="B8" s="1">
        <v>5.9714415945772101</v>
      </c>
      <c r="C8" s="1">
        <v>1.3349506968781999</v>
      </c>
      <c r="D8" s="1">
        <v>-4.4925790762476896E-3</v>
      </c>
      <c r="E8" s="1">
        <v>2.0500691423495301</v>
      </c>
      <c r="F8" s="1">
        <v>39.450249091149097</v>
      </c>
      <c r="G8" s="1">
        <v>2.6974811750229599E-3</v>
      </c>
      <c r="H8" s="1"/>
      <c r="U8" s="1"/>
    </row>
    <row r="9" spans="1:22" ht="42.75">
      <c r="A9" s="1" t="s">
        <v>18</v>
      </c>
      <c r="B9" s="1">
        <v>5.9546595386126704</v>
      </c>
      <c r="C9" s="1">
        <v>1.3306804909601899</v>
      </c>
      <c r="D9" s="1">
        <v>-3.2034568327028901E-3</v>
      </c>
      <c r="E9" s="1">
        <v>2.0505781411088599</v>
      </c>
      <c r="F9" s="1">
        <v>41.031462087473599</v>
      </c>
      <c r="G9" s="1">
        <v>2.28730050654942E-3</v>
      </c>
      <c r="H9" s="1"/>
      <c r="U9" s="1"/>
    </row>
    <row r="10" spans="1:22" ht="42.75">
      <c r="A10" s="1" t="s">
        <v>19</v>
      </c>
      <c r="B10" s="1">
        <v>5.9526717332290202</v>
      </c>
      <c r="C10" s="1">
        <v>1.3355990555081401</v>
      </c>
      <c r="D10" s="1">
        <v>-4.1882224349945396E-3</v>
      </c>
      <c r="E10" s="1">
        <v>2.0507196888272801</v>
      </c>
      <c r="F10" s="1">
        <v>39.580685060710799</v>
      </c>
      <c r="G10" s="1">
        <v>2.6657039913210098E-3</v>
      </c>
      <c r="H10" s="1"/>
      <c r="U10" s="1"/>
    </row>
    <row r="11" spans="1:22" ht="42.75">
      <c r="A11" s="1" t="s">
        <v>20</v>
      </c>
      <c r="B11" s="1">
        <v>5.9925762983853099</v>
      </c>
      <c r="C11" s="1">
        <v>1.3366642379573701</v>
      </c>
      <c r="D11" s="1">
        <v>-5.1642999622745602E-3</v>
      </c>
      <c r="E11" s="1">
        <v>2.0500606938707202</v>
      </c>
      <c r="F11" s="1">
        <v>39.616431260493599</v>
      </c>
      <c r="G11" s="1">
        <v>2.6574035131885199E-3</v>
      </c>
      <c r="H11" s="1"/>
      <c r="U11" s="1"/>
    </row>
    <row r="12" spans="1:22" ht="42.75">
      <c r="A12" s="1" t="s">
        <v>21</v>
      </c>
      <c r="B12" s="1">
        <v>5.9607737827043099</v>
      </c>
      <c r="C12" s="1">
        <v>1.33489405897254</v>
      </c>
      <c r="D12" s="1">
        <v>-4.8430985181666403E-3</v>
      </c>
      <c r="E12" s="1">
        <v>2.04992375124987</v>
      </c>
      <c r="F12" s="1">
        <v>40.547541061348703</v>
      </c>
      <c r="G12" s="1">
        <v>2.54627781488799E-3</v>
      </c>
      <c r="H12" s="1"/>
      <c r="U12" s="1"/>
    </row>
    <row r="13" spans="1:22" ht="42.75">
      <c r="A13" s="1" t="s">
        <v>22</v>
      </c>
      <c r="B13" s="1">
        <v>5.9798136479539004</v>
      </c>
      <c r="C13" s="1">
        <v>1.33761560823551</v>
      </c>
      <c r="D13" s="1">
        <v>-5.09957188107262E-3</v>
      </c>
      <c r="E13" s="1">
        <v>2.05041465828503</v>
      </c>
      <c r="F13" s="1">
        <v>39.696923554769199</v>
      </c>
      <c r="G13" s="1">
        <v>2.3090911467359902E-3</v>
      </c>
      <c r="H13" s="1"/>
      <c r="R13" s="1"/>
    </row>
    <row r="14" spans="1:22" ht="42.75">
      <c r="A14" s="1" t="s">
        <v>23</v>
      </c>
      <c r="B14" s="1">
        <v>5.9855117155737396</v>
      </c>
      <c r="C14" s="1">
        <v>1.33424261911765</v>
      </c>
      <c r="D14" s="1">
        <v>-4.4784068782857704E-3</v>
      </c>
      <c r="E14" s="1">
        <v>2.0510183977827601</v>
      </c>
      <c r="F14" s="1">
        <v>39.702637360022997</v>
      </c>
      <c r="G14" s="1">
        <v>2.3589828143884099E-3</v>
      </c>
      <c r="H14" s="1"/>
      <c r="R14" s="1"/>
    </row>
    <row r="15" spans="1:22" ht="42.75">
      <c r="A15" s="1" t="s">
        <v>24</v>
      </c>
      <c r="B15" s="1">
        <v>6.0292733180363696</v>
      </c>
      <c r="C15" s="1">
        <v>1.32482798087154</v>
      </c>
      <c r="D15" s="1">
        <v>-2.1697246733179501E-3</v>
      </c>
      <c r="E15" s="1">
        <v>2.0501150632801699</v>
      </c>
      <c r="F15" s="1">
        <v>40.469339208888698</v>
      </c>
      <c r="G15" s="1">
        <v>2.2892639939005701E-3</v>
      </c>
      <c r="H15" s="1"/>
      <c r="R15" s="1"/>
    </row>
    <row r="16" spans="1:22" ht="42.75">
      <c r="A16" s="1" t="s">
        <v>25</v>
      </c>
      <c r="B16" s="1">
        <v>5.9440797542562098</v>
      </c>
      <c r="C16" s="1">
        <v>1.3406179923133501</v>
      </c>
      <c r="D16" s="1">
        <v>-5.0426193630138004E-3</v>
      </c>
      <c r="E16" s="1">
        <v>2.0507582334799102</v>
      </c>
      <c r="F16" s="1">
        <v>39.745215810003202</v>
      </c>
      <c r="G16" s="1">
        <v>2.6761684748890201E-3</v>
      </c>
      <c r="H16" s="1"/>
      <c r="R16" s="1"/>
    </row>
    <row r="17" spans="1:8" ht="42.75">
      <c r="A17" s="1" t="s">
        <v>26</v>
      </c>
      <c r="B17" s="1">
        <v>5.9637069175640898</v>
      </c>
      <c r="C17" s="1">
        <v>1.34098511406109</v>
      </c>
      <c r="D17" s="1">
        <v>-5.1135896781371601E-3</v>
      </c>
      <c r="E17" s="1">
        <v>2.05108181938837</v>
      </c>
      <c r="F17" s="1">
        <v>39.805717222662203</v>
      </c>
      <c r="G17" s="1">
        <v>2.4073033335867099E-3</v>
      </c>
      <c r="H17" s="1"/>
    </row>
    <row r="18" spans="1:8" ht="42.75">
      <c r="A18" s="1" t="s">
        <v>27</v>
      </c>
      <c r="B18" s="1">
        <v>5.9851248839214604</v>
      </c>
      <c r="C18" s="1">
        <v>1.33764715684182</v>
      </c>
      <c r="D18" s="1">
        <v>-4.5563596705812696E-3</v>
      </c>
      <c r="E18" s="1">
        <v>2.0509318499384399</v>
      </c>
      <c r="F18" s="1">
        <v>39.7859968303786</v>
      </c>
      <c r="G18" s="1">
        <v>2.5875862507269099E-3</v>
      </c>
      <c r="H18" s="1"/>
    </row>
    <row r="19" spans="1:8" ht="42.75">
      <c r="A19" s="1" t="s">
        <v>28</v>
      </c>
      <c r="B19" s="1">
        <v>5.9641145262355701</v>
      </c>
      <c r="C19" s="1">
        <v>1.33990836394636</v>
      </c>
      <c r="D19" s="1">
        <v>-4.7626311816572004E-3</v>
      </c>
      <c r="E19" s="1">
        <v>2.0496909252836302</v>
      </c>
      <c r="F19" s="1">
        <v>41.905093355474001</v>
      </c>
      <c r="G19" s="1">
        <v>2.5326291073840702E-3</v>
      </c>
      <c r="H19" s="1"/>
    </row>
    <row r="20" spans="1:8" ht="42.75">
      <c r="A20" s="1" t="s">
        <v>29</v>
      </c>
      <c r="B20" s="1">
        <v>5.9548137587277301</v>
      </c>
      <c r="C20" s="1">
        <v>1.3359051074421899</v>
      </c>
      <c r="D20" s="1">
        <v>-4.7355551349687504E-3</v>
      </c>
      <c r="E20" s="1">
        <v>1.99002814074638</v>
      </c>
      <c r="F20" s="1">
        <v>39.889708650082603</v>
      </c>
      <c r="G20" s="1">
        <v>2.4552960905428801E-3</v>
      </c>
      <c r="H20" s="1"/>
    </row>
    <row r="21" spans="1:8" ht="42.75">
      <c r="A21" s="1" t="s">
        <v>30</v>
      </c>
      <c r="B21" s="1">
        <v>5.9412161279185698</v>
      </c>
      <c r="C21" s="1">
        <v>1.33539159336554</v>
      </c>
      <c r="D21" s="1">
        <v>-4.4044487761413301E-3</v>
      </c>
      <c r="E21" s="1">
        <v>1.9904609467486001</v>
      </c>
      <c r="F21" s="1">
        <v>40.732018564347698</v>
      </c>
      <c r="G21" s="1">
        <v>2.31000719572748E-3</v>
      </c>
      <c r="H21" s="1"/>
    </row>
    <row r="22" spans="1:8" ht="42.75">
      <c r="A22" s="1" t="s">
        <v>31</v>
      </c>
      <c r="B22" s="1">
        <v>5.9237749973025897</v>
      </c>
      <c r="C22" s="1">
        <v>1.3375755518680801</v>
      </c>
      <c r="D22" s="1">
        <v>-4.3263075752390497E-3</v>
      </c>
      <c r="E22" s="1">
        <v>1.9904801761443001</v>
      </c>
      <c r="F22" s="1">
        <v>39.938698835600299</v>
      </c>
      <c r="G22" s="1">
        <v>2.6444214125628499E-3</v>
      </c>
      <c r="H22" s="1"/>
    </row>
    <row r="23" spans="1:8" ht="42.75">
      <c r="A23" s="1" t="s">
        <v>32</v>
      </c>
      <c r="B23" s="1">
        <v>5.9321677454244002</v>
      </c>
      <c r="C23" s="1">
        <v>1.33798651350494</v>
      </c>
      <c r="D23" s="1">
        <v>-4.4962696316495502E-3</v>
      </c>
      <c r="E23" s="1">
        <v>1.9904698268621701</v>
      </c>
      <c r="F23" s="1">
        <v>39.9493857802725</v>
      </c>
      <c r="G23" s="1">
        <v>2.7279170901326499E-3</v>
      </c>
      <c r="H23" s="1"/>
    </row>
    <row r="24" spans="1:8" ht="42.75">
      <c r="A24" s="1" t="s">
        <v>33</v>
      </c>
      <c r="B24" s="1">
        <v>5.9655682681986404</v>
      </c>
      <c r="C24" s="1">
        <v>1.3384254977438299</v>
      </c>
      <c r="D24" s="1">
        <v>-4.0858705987493601E-3</v>
      </c>
      <c r="E24" s="1">
        <v>1.8004666413616499</v>
      </c>
      <c r="F24" s="1">
        <v>39.927840250023401</v>
      </c>
      <c r="G24" s="1">
        <v>2.5807991703053401E-3</v>
      </c>
      <c r="H24" s="1"/>
    </row>
    <row r="25" spans="1:8" ht="42.75">
      <c r="A25" s="1" t="s">
        <v>34</v>
      </c>
      <c r="B25" s="1">
        <v>5.9648566611082501</v>
      </c>
      <c r="C25" s="1">
        <v>1.33927929096658</v>
      </c>
      <c r="D25" s="1">
        <v>-4.3823150001443397E-3</v>
      </c>
      <c r="E25" s="1">
        <v>1.8005783500028401</v>
      </c>
      <c r="F25" s="1">
        <v>39.967590650034403</v>
      </c>
      <c r="G25" s="1">
        <v>2.4667954332011901E-3</v>
      </c>
      <c r="H25" s="1"/>
    </row>
    <row r="26" spans="1:8" ht="42.75">
      <c r="A26" s="1" t="s">
        <v>35</v>
      </c>
      <c r="B26" s="1">
        <v>5.9622611291336396</v>
      </c>
      <c r="C26" s="1">
        <v>1.35478968038485</v>
      </c>
      <c r="D26" s="1">
        <v>-4.3910361416266801E-3</v>
      </c>
      <c r="E26" s="1">
        <v>2.04994671805578</v>
      </c>
      <c r="F26" s="1">
        <v>39.138018596706097</v>
      </c>
      <c r="G26" s="1">
        <v>2.2936611668623098E-3</v>
      </c>
      <c r="H26" s="1"/>
    </row>
    <row r="27" spans="1:8" ht="42.75">
      <c r="A27" s="1" t="s">
        <v>36</v>
      </c>
      <c r="B27" s="1">
        <v>6.0066466306228703</v>
      </c>
      <c r="C27" s="1">
        <v>1.3525930918809399</v>
      </c>
      <c r="D27" s="1">
        <v>-5.6174554001264402E-3</v>
      </c>
      <c r="E27" s="1">
        <v>2.0505898583678599</v>
      </c>
      <c r="F27" s="1">
        <v>39.1697027204726</v>
      </c>
      <c r="G27" s="1">
        <v>2.9717693923090702E-3</v>
      </c>
      <c r="H27" s="1"/>
    </row>
    <row r="28" spans="1:8" ht="42.75">
      <c r="A28" s="1" t="s">
        <v>37</v>
      </c>
      <c r="B28" s="1">
        <v>5.9421219928096498</v>
      </c>
      <c r="C28" s="1">
        <v>1.3512994709888899</v>
      </c>
      <c r="D28" s="1">
        <v>-4.4123030922149E-3</v>
      </c>
      <c r="E28" s="1">
        <v>2.0507609580009198</v>
      </c>
      <c r="F28" s="1">
        <v>39.2181248045</v>
      </c>
      <c r="G28" s="1">
        <v>2.74565673339539E-3</v>
      </c>
      <c r="H28" s="1"/>
    </row>
    <row r="29" spans="1:8" ht="42.75">
      <c r="A29" s="1" t="s">
        <v>38</v>
      </c>
      <c r="B29" s="1">
        <v>5.97435305885893</v>
      </c>
      <c r="C29" s="1">
        <v>1.3511927326795501</v>
      </c>
      <c r="D29" s="1">
        <v>-4.0758467965776599E-3</v>
      </c>
      <c r="E29" s="1">
        <v>2.05071185281236</v>
      </c>
      <c r="F29" s="1">
        <v>39.254741618317198</v>
      </c>
      <c r="G29" s="1">
        <v>2.30551165670807E-3</v>
      </c>
      <c r="H29" s="1"/>
    </row>
    <row r="30" spans="1:8" ht="42.75">
      <c r="A30" s="1" t="s">
        <v>39</v>
      </c>
      <c r="B30" s="1">
        <v>5.9503505932316996</v>
      </c>
      <c r="C30" s="1">
        <v>1.3517522920582701</v>
      </c>
      <c r="D30" s="1">
        <v>-4.00203597696958E-3</v>
      </c>
      <c r="E30" s="1">
        <v>2.0503878920376</v>
      </c>
      <c r="F30" s="1">
        <v>39.2698895403298</v>
      </c>
      <c r="G30" s="1">
        <v>2.4007753554622598E-3</v>
      </c>
      <c r="H30" s="1"/>
    </row>
    <row r="31" spans="1:8" ht="42.75">
      <c r="A31" s="1" t="s">
        <v>40</v>
      </c>
      <c r="B31" s="1">
        <v>5.9548297693894297</v>
      </c>
      <c r="C31" s="1">
        <v>1.3515231115270701</v>
      </c>
      <c r="D31" s="1">
        <v>-3.8519100910113899E-3</v>
      </c>
      <c r="E31" s="1">
        <v>2.0506579992015501</v>
      </c>
      <c r="F31" s="1">
        <v>39.275298510001299</v>
      </c>
      <c r="G31" s="1">
        <v>2.4752455626023298E-3</v>
      </c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7"/>
  <sheetViews>
    <sheetView zoomScale="99" zoomScaleNormal="99" workbookViewId="0">
      <selection sqref="A1:B1048576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11</v>
      </c>
      <c r="B2" s="1">
        <v>9.5315139971463694E-2</v>
      </c>
      <c r="C2" s="1">
        <v>1.62133399071797</v>
      </c>
      <c r="D2" s="1">
        <v>7.5545521112100797E-4</v>
      </c>
      <c r="E2" s="2">
        <v>6.6067340149236593E-5</v>
      </c>
      <c r="F2" s="1">
        <v>2.5052964624533098</v>
      </c>
      <c r="G2" s="1">
        <v>40.779251706773799</v>
      </c>
      <c r="H2" s="1">
        <v>7.5220358512482197E-4</v>
      </c>
      <c r="L2" s="1"/>
    </row>
    <row r="3" spans="1:20" ht="42.75">
      <c r="A3" s="1" t="s">
        <v>12</v>
      </c>
      <c r="B3" s="1">
        <v>9.5613752572800206E-2</v>
      </c>
      <c r="C3" s="1">
        <v>1.6211437422038699</v>
      </c>
      <c r="D3" s="1">
        <v>1.214147315422E-3</v>
      </c>
      <c r="E3" s="2">
        <v>-2.0471670848116401E-5</v>
      </c>
      <c r="F3" s="1">
        <v>2.5041220469079999</v>
      </c>
      <c r="G3" s="1">
        <v>40.006319527335201</v>
      </c>
      <c r="H3" s="1">
        <v>6.75093191058807E-4</v>
      </c>
      <c r="L3" s="1"/>
    </row>
    <row r="4" spans="1:20" ht="42.75">
      <c r="A4" s="1" t="s">
        <v>13</v>
      </c>
      <c r="B4" s="1">
        <v>9.57329103303277E-2</v>
      </c>
      <c r="C4" s="1">
        <v>1.62060897869557</v>
      </c>
      <c r="D4" s="1">
        <v>1.56941800683839E-3</v>
      </c>
      <c r="E4" s="2">
        <v>-4.0411831507904302E-5</v>
      </c>
      <c r="F4" s="1">
        <v>2.2544239203081999</v>
      </c>
      <c r="G4" s="1">
        <v>41.718704309944698</v>
      </c>
      <c r="H4" s="1">
        <v>1.10127232791749E-3</v>
      </c>
    </row>
    <row r="5" spans="1:20" ht="42.75">
      <c r="A5" s="1" t="s">
        <v>14</v>
      </c>
      <c r="B5" s="1">
        <v>9.4740461511437099E-2</v>
      </c>
      <c r="C5" s="1">
        <v>1.6209652868912201</v>
      </c>
      <c r="D5" s="1">
        <v>7.2891711899145898E-4</v>
      </c>
      <c r="E5" s="2">
        <v>7.1227379318821701E-5</v>
      </c>
      <c r="F5" s="1">
        <v>2.5068226397060802</v>
      </c>
      <c r="G5" s="1">
        <v>39.814706316405299</v>
      </c>
      <c r="H5" s="1">
        <v>9.7186610687657502E-4</v>
      </c>
    </row>
    <row r="6" spans="1:20" ht="42.75">
      <c r="A6" s="1" t="s">
        <v>15</v>
      </c>
      <c r="B6" s="1">
        <v>9.56068005906138E-2</v>
      </c>
      <c r="C6" s="1">
        <v>1.6209192041654701</v>
      </c>
      <c r="D6" s="1">
        <v>1.1445081982221299E-3</v>
      </c>
      <c r="E6" s="2">
        <v>-9.1296916850182792E-6</v>
      </c>
      <c r="F6" s="1">
        <v>2.2545271638381199</v>
      </c>
      <c r="G6" s="1">
        <v>41.019603393554199</v>
      </c>
      <c r="H6" s="1">
        <v>7.5515975927295303E-4</v>
      </c>
    </row>
    <row r="7" spans="1:20" ht="42.75">
      <c r="A7" s="1" t="s">
        <v>16</v>
      </c>
      <c r="B7" s="1">
        <v>9.5333549341072299E-2</v>
      </c>
      <c r="C7" s="1">
        <v>1.6232060139911599</v>
      </c>
      <c r="D7" s="1">
        <v>1.06476002482928E-3</v>
      </c>
      <c r="E7" s="2">
        <v>1.0831636362607399E-6</v>
      </c>
      <c r="F7" s="1">
        <v>2.7534965874767798</v>
      </c>
      <c r="G7" s="1">
        <v>39.5495580780238</v>
      </c>
      <c r="H7" s="1">
        <v>5.8323635667285802E-4</v>
      </c>
    </row>
    <row r="8" spans="1:20" ht="42.75">
      <c r="A8" s="1" t="s">
        <v>17</v>
      </c>
      <c r="B8" s="1">
        <v>9.5272929905971096E-2</v>
      </c>
      <c r="C8" s="1">
        <v>1.62324913787617</v>
      </c>
      <c r="D8" s="1">
        <v>1.0691728947051799E-3</v>
      </c>
      <c r="E8" s="2">
        <v>2.4878434185176502E-5</v>
      </c>
      <c r="F8" s="1">
        <v>2.5033746733136599</v>
      </c>
      <c r="G8" s="1">
        <v>39.515615597981999</v>
      </c>
      <c r="H8" s="1">
        <v>6.6380239612131003E-4</v>
      </c>
    </row>
    <row r="9" spans="1:20" ht="42.75">
      <c r="A9" s="1" t="s">
        <v>18</v>
      </c>
      <c r="B9" s="1">
        <v>9.5825730092529093E-2</v>
      </c>
      <c r="C9" s="1">
        <v>1.6228780377630401</v>
      </c>
      <c r="D9" s="1">
        <v>1.83136332250278E-3</v>
      </c>
      <c r="E9" s="1">
        <v>-1.9580008955309101E-4</v>
      </c>
      <c r="F9" s="1">
        <v>2.504305696301</v>
      </c>
      <c r="G9" s="1">
        <v>40.491243515312497</v>
      </c>
      <c r="H9" s="1">
        <v>7.5220647043167999E-4</v>
      </c>
    </row>
    <row r="10" spans="1:20" ht="42.75">
      <c r="A10" s="1" t="s">
        <v>19</v>
      </c>
      <c r="B10" s="1">
        <v>9.5557760398135405E-2</v>
      </c>
      <c r="C10" s="1">
        <v>1.62267061600028</v>
      </c>
      <c r="D10" s="1">
        <v>1.00112024358932E-3</v>
      </c>
      <c r="E10" s="2">
        <v>2.4937771443841701E-5</v>
      </c>
      <c r="F10" s="1">
        <v>2.50321443691384</v>
      </c>
      <c r="G10" s="1">
        <v>40.5682100485853</v>
      </c>
      <c r="H10" s="1">
        <v>7.5220520812637099E-4</v>
      </c>
    </row>
    <row r="11" spans="1:20" ht="42.75">
      <c r="A11" s="1" t="s">
        <v>20</v>
      </c>
      <c r="B11" s="1">
        <v>9.5707695616314301E-2</v>
      </c>
      <c r="C11" s="1">
        <v>1.622218654206</v>
      </c>
      <c r="D11" s="1">
        <v>1.11928623023588E-3</v>
      </c>
      <c r="E11" s="2">
        <v>-1.43631088138618E-5</v>
      </c>
      <c r="F11" s="1">
        <v>2.5043336452208398</v>
      </c>
      <c r="G11" s="1">
        <v>40.618439236638103</v>
      </c>
      <c r="H11" s="1">
        <v>7.5220116053820001E-4</v>
      </c>
    </row>
    <row r="12" spans="1:20" ht="42.75">
      <c r="A12" s="1" t="s">
        <v>21</v>
      </c>
      <c r="B12" s="1">
        <v>9.5513472864986904E-2</v>
      </c>
      <c r="C12" s="1">
        <v>1.62090767640796</v>
      </c>
      <c r="D12" s="1">
        <v>9.4253868440248296E-4</v>
      </c>
      <c r="E12" s="2">
        <v>4.4670468703141299E-5</v>
      </c>
      <c r="F12" s="1">
        <v>2.5048342335335398</v>
      </c>
      <c r="G12" s="1">
        <v>41.162135986851702</v>
      </c>
      <c r="H12" s="1">
        <v>5.7874347044655405E-4</v>
      </c>
    </row>
    <row r="13" spans="1:20" ht="42.75">
      <c r="A13" s="1" t="s">
        <v>22</v>
      </c>
      <c r="B13" s="1">
        <v>9.5307639125115001E-2</v>
      </c>
      <c r="C13" s="1">
        <v>1.6216190801902699</v>
      </c>
      <c r="D13" s="1">
        <v>1.2117134562591801E-3</v>
      </c>
      <c r="E13" s="2">
        <v>-2.4009913364777301E-5</v>
      </c>
      <c r="F13" s="1">
        <v>2.5044266939970101</v>
      </c>
      <c r="G13" s="1">
        <v>39.718873109792398</v>
      </c>
      <c r="H13" s="1">
        <v>6.2555943517156201E-4</v>
      </c>
    </row>
    <row r="14" spans="1:20" ht="42.75">
      <c r="A14" s="1" t="s">
        <v>23</v>
      </c>
      <c r="B14" s="1">
        <v>9.6102530139334702E-2</v>
      </c>
      <c r="C14" s="1">
        <v>1.62055866854769</v>
      </c>
      <c r="D14" s="1">
        <v>1.44745548254651E-3</v>
      </c>
      <c r="E14" s="2">
        <v>-3.6494810903510003E-5</v>
      </c>
      <c r="F14" s="1">
        <v>2.5045422813687099</v>
      </c>
      <c r="G14" s="1">
        <v>41.612552253600903</v>
      </c>
      <c r="H14" s="1">
        <v>9.5397965020696605E-4</v>
      </c>
    </row>
    <row r="15" spans="1:20" ht="42.75">
      <c r="A15" s="1" t="s">
        <v>24</v>
      </c>
      <c r="B15" s="1">
        <v>9.5842612321962603E-2</v>
      </c>
      <c r="C15" s="1">
        <v>1.6204641813590901</v>
      </c>
      <c r="D15" s="1">
        <v>6.6280412577379201E-4</v>
      </c>
      <c r="E15" s="2">
        <v>4.5747591462842402E-5</v>
      </c>
      <c r="F15" s="1">
        <v>2.5042270886023701</v>
      </c>
      <c r="G15" s="1">
        <v>39.784337729447202</v>
      </c>
      <c r="H15" s="1">
        <v>9.5829707020611901E-4</v>
      </c>
    </row>
    <row r="16" spans="1:20" ht="42.75">
      <c r="A16" s="1" t="s">
        <v>41</v>
      </c>
      <c r="B16" s="1">
        <v>9.5544277328038094E-2</v>
      </c>
      <c r="C16" s="1">
        <v>1.6203145717242</v>
      </c>
      <c r="D16" s="1">
        <v>1.4052112873676899E-3</v>
      </c>
      <c r="E16" s="2">
        <v>-4.4311740787449996E-6</v>
      </c>
      <c r="F16" s="1">
        <v>2.2529012589356698</v>
      </c>
      <c r="G16" s="1">
        <v>40.737018167225898</v>
      </c>
      <c r="H16" s="1">
        <v>7.5220748072072198E-4</v>
      </c>
    </row>
    <row r="17" spans="1:8" ht="42.75">
      <c r="A17" s="1" t="s">
        <v>25</v>
      </c>
      <c r="B17" s="1">
        <v>9.5502184039375396E-2</v>
      </c>
      <c r="C17" s="1">
        <v>1.62092859719028</v>
      </c>
      <c r="D17" s="1">
        <v>1.3849611939499701E-3</v>
      </c>
      <c r="E17" s="2">
        <v>-7.2360485277679703E-6</v>
      </c>
      <c r="F17" s="1">
        <v>2.5045745434656901</v>
      </c>
      <c r="G17" s="1">
        <v>40.060934410931097</v>
      </c>
      <c r="H17" s="1">
        <v>5.7996643611440599E-4</v>
      </c>
    </row>
    <row r="18" spans="1:8" ht="42.75">
      <c r="A18" s="1" t="s">
        <v>26</v>
      </c>
      <c r="B18" s="1">
        <v>9.5885385701222001E-2</v>
      </c>
      <c r="C18" s="1">
        <v>1.62203145862554</v>
      </c>
      <c r="D18" s="1">
        <v>1.21657270918662E-3</v>
      </c>
      <c r="E18" s="2">
        <v>-1.1118862862750999E-5</v>
      </c>
      <c r="F18" s="1">
        <v>2.5062611254681402</v>
      </c>
      <c r="G18" s="1">
        <v>41.613637338409099</v>
      </c>
      <c r="H18" s="1">
        <v>1.1506255134752399E-3</v>
      </c>
    </row>
    <row r="19" spans="1:8" ht="42.75">
      <c r="A19" s="1" t="s">
        <v>27</v>
      </c>
      <c r="B19" s="1">
        <v>9.6439591076729503E-2</v>
      </c>
      <c r="C19" s="1">
        <v>1.6212557597980899</v>
      </c>
      <c r="D19" s="1">
        <v>1.6179740056898801E-3</v>
      </c>
      <c r="E19" s="2">
        <v>-7.9001685887818599E-5</v>
      </c>
      <c r="F19" s="1">
        <v>2.5041599118367501</v>
      </c>
      <c r="G19" s="1">
        <v>41.7893404478733</v>
      </c>
      <c r="H19" s="1">
        <v>1.15637534983622E-3</v>
      </c>
    </row>
    <row r="20" spans="1:8" ht="42.75">
      <c r="A20" s="1" t="s">
        <v>28</v>
      </c>
      <c r="B20" s="1">
        <v>9.5241121615471297E-2</v>
      </c>
      <c r="C20" s="1">
        <v>1.62202160749532</v>
      </c>
      <c r="D20" s="1">
        <v>5.2449066453556499E-4</v>
      </c>
      <c r="E20" s="2">
        <v>5.9326262058984397E-5</v>
      </c>
      <c r="F20" s="1">
        <v>2.2546602562248399</v>
      </c>
      <c r="G20" s="1">
        <v>39.914836412838802</v>
      </c>
      <c r="H20" s="1">
        <v>5.9506611756237802E-4</v>
      </c>
    </row>
    <row r="21" spans="1:8" ht="42.75">
      <c r="A21" s="1" t="s">
        <v>42</v>
      </c>
      <c r="B21" s="1">
        <v>9.4447925402388805E-2</v>
      </c>
      <c r="C21" s="1">
        <v>1.62046997972666</v>
      </c>
      <c r="D21" s="1">
        <v>4.46390746866828E-4</v>
      </c>
      <c r="E21" s="1">
        <v>1.1922284777358499E-4</v>
      </c>
      <c r="F21" s="1">
        <v>2.25563493362765</v>
      </c>
      <c r="G21" s="1">
        <v>39.909245106038298</v>
      </c>
      <c r="H21" s="1">
        <v>5.8439455396087296E-4</v>
      </c>
    </row>
    <row r="22" spans="1:8" ht="42.75">
      <c r="A22" s="1" t="s">
        <v>29</v>
      </c>
      <c r="B22" s="1">
        <v>9.5433597155929403E-2</v>
      </c>
      <c r="C22" s="1">
        <v>1.6202817598228501</v>
      </c>
      <c r="D22" s="1">
        <v>8.7903739449520901E-4</v>
      </c>
      <c r="E22" s="2">
        <v>3.68777674894102E-5</v>
      </c>
      <c r="F22" s="1">
        <v>2.2555277888166398</v>
      </c>
      <c r="G22" s="1">
        <v>41.468952471556001</v>
      </c>
      <c r="H22" s="1">
        <v>5.91345085874973E-4</v>
      </c>
    </row>
    <row r="23" spans="1:8" ht="42.75">
      <c r="A23" s="1" t="s">
        <v>30</v>
      </c>
      <c r="B23" s="1">
        <v>9.5987289369727502E-2</v>
      </c>
      <c r="C23" s="1">
        <v>1.62038668035524</v>
      </c>
      <c r="D23" s="1">
        <v>1.3105095800608E-3</v>
      </c>
      <c r="E23" s="2">
        <v>-5.2249479062547702E-5</v>
      </c>
      <c r="F23" s="1">
        <v>2.25546653760621</v>
      </c>
      <c r="G23" s="1">
        <v>41.753543087306497</v>
      </c>
      <c r="H23" s="1">
        <v>1.0789385678733499E-3</v>
      </c>
    </row>
    <row r="24" spans="1:8" ht="42.75">
      <c r="A24" s="1" t="s">
        <v>31</v>
      </c>
      <c r="B24" s="1">
        <v>9.5313166809118E-2</v>
      </c>
      <c r="C24" s="1">
        <v>1.62021931414535</v>
      </c>
      <c r="D24" s="1">
        <v>6.4190417175468003E-4</v>
      </c>
      <c r="E24" s="2">
        <v>5.9699882546557603E-5</v>
      </c>
      <c r="F24" s="1">
        <v>2.2562966308394299</v>
      </c>
      <c r="G24" s="1">
        <v>40.153463540825399</v>
      </c>
      <c r="H24" s="1">
        <v>6.6857499333353697E-4</v>
      </c>
    </row>
    <row r="25" spans="1:8" ht="42.75">
      <c r="A25" s="1" t="s">
        <v>32</v>
      </c>
      <c r="B25" s="1">
        <v>9.5108590519696196E-2</v>
      </c>
      <c r="C25" s="1">
        <v>1.61945602622268</v>
      </c>
      <c r="D25" s="1">
        <v>4.8803119645281901E-4</v>
      </c>
      <c r="E25" s="1">
        <v>1.07377583270388E-4</v>
      </c>
      <c r="F25" s="1">
        <v>2.2543132055206199</v>
      </c>
      <c r="G25" s="1">
        <v>40.022677245329099</v>
      </c>
      <c r="H25" s="1">
        <v>5.7887664731972298E-4</v>
      </c>
    </row>
    <row r="26" spans="1:8" ht="42.75">
      <c r="A26" s="1" t="s">
        <v>33</v>
      </c>
      <c r="B26" s="1">
        <v>9.5279653817559096E-2</v>
      </c>
      <c r="C26" s="1">
        <v>1.61894662103373</v>
      </c>
      <c r="D26" s="1">
        <v>8.3433198074137896E-4</v>
      </c>
      <c r="E26" s="2">
        <v>3.4413478184192801E-5</v>
      </c>
      <c r="F26" s="1">
        <v>2.2536978914891401</v>
      </c>
      <c r="G26" s="1">
        <v>39.956567471558699</v>
      </c>
      <c r="H26" s="1">
        <v>6.0778858687574099E-4</v>
      </c>
    </row>
    <row r="27" spans="1:8" ht="42.75">
      <c r="A27" s="1" t="s">
        <v>34</v>
      </c>
      <c r="B27" s="1">
        <v>9.5070431421425905E-2</v>
      </c>
      <c r="C27" s="1">
        <v>1.6189248006429799</v>
      </c>
      <c r="D27" s="1">
        <v>6.3772300409390401E-4</v>
      </c>
      <c r="E27" s="2">
        <v>8.4132723870295804E-5</v>
      </c>
      <c r="F27" s="1">
        <v>2.0036953007499601</v>
      </c>
      <c r="G27" s="1">
        <v>39.9923596867011</v>
      </c>
      <c r="H27" s="1">
        <v>7.9242679566263099E-4</v>
      </c>
    </row>
    <row r="28" spans="1:8" ht="42.75">
      <c r="A28" s="1" t="s">
        <v>43</v>
      </c>
      <c r="B28" s="1">
        <v>9.4150521157298606E-2</v>
      </c>
      <c r="C28" s="1">
        <v>1.6221753339576099</v>
      </c>
      <c r="D28" s="1">
        <v>1.27187762622492E-3</v>
      </c>
      <c r="E28" s="2">
        <v>-2.8738792900554199E-5</v>
      </c>
      <c r="F28" s="1">
        <v>2.7532544045012801</v>
      </c>
      <c r="G28" s="1">
        <v>39.216118510402403</v>
      </c>
      <c r="H28" s="1">
        <v>7.4274363141246195E-4</v>
      </c>
    </row>
    <row r="29" spans="1:8" ht="42.75">
      <c r="A29" s="1" t="s">
        <v>35</v>
      </c>
      <c r="B29" s="1">
        <v>9.4951214409789694E-2</v>
      </c>
      <c r="C29" s="1">
        <v>1.62155084274096</v>
      </c>
      <c r="D29" s="1">
        <v>1.6121345939358201E-3</v>
      </c>
      <c r="E29" s="2">
        <v>-3.6923457786751803E-5</v>
      </c>
      <c r="F29" s="1">
        <v>2.7527326284623101</v>
      </c>
      <c r="G29" s="1">
        <v>39.1510616291472</v>
      </c>
      <c r="H29" s="1">
        <v>6.5633347259234399E-4</v>
      </c>
    </row>
    <row r="30" spans="1:8" ht="42.75">
      <c r="A30" s="1" t="s">
        <v>44</v>
      </c>
      <c r="B30" s="1">
        <v>9.4487980747369901E-2</v>
      </c>
      <c r="C30" s="1">
        <v>1.62253994960346</v>
      </c>
      <c r="D30" s="1">
        <v>1.3311262411951699E-3</v>
      </c>
      <c r="E30" s="2">
        <v>-2.1749885931445E-5</v>
      </c>
      <c r="F30" s="1">
        <v>2.7545531029120398</v>
      </c>
      <c r="G30" s="1">
        <v>39.134217975204102</v>
      </c>
      <c r="H30" s="1">
        <v>1.0015668591327599E-3</v>
      </c>
    </row>
    <row r="31" spans="1:8" ht="42.75">
      <c r="A31" s="1" t="s">
        <v>36</v>
      </c>
      <c r="B31" s="1">
        <v>9.48427612752826E-2</v>
      </c>
      <c r="C31" s="1">
        <v>1.62292680659832</v>
      </c>
      <c r="D31" s="1">
        <v>1.2887474893083701E-3</v>
      </c>
      <c r="E31" s="2">
        <v>-2.2537631317379699E-5</v>
      </c>
      <c r="F31" s="1">
        <v>2.7552142231510599</v>
      </c>
      <c r="G31" s="1">
        <v>40.152629327436699</v>
      </c>
      <c r="H31" s="1">
        <v>7.5221436927637095E-4</v>
      </c>
    </row>
    <row r="32" spans="1:8" ht="42.75">
      <c r="A32" s="1" t="s">
        <v>37</v>
      </c>
      <c r="B32" s="1">
        <v>9.5323780436117694E-2</v>
      </c>
      <c r="C32" s="1">
        <v>1.6228085523423901</v>
      </c>
      <c r="D32" s="1">
        <v>1.4114460432102299E-3</v>
      </c>
      <c r="E32" s="2">
        <v>-6.3509376143837206E-5</v>
      </c>
      <c r="F32" s="1">
        <v>2.75449392995213</v>
      </c>
      <c r="G32" s="1">
        <v>40.376777645894897</v>
      </c>
      <c r="H32" s="1">
        <v>8.2097143404200404E-4</v>
      </c>
    </row>
    <row r="33" spans="1:8" ht="42.75">
      <c r="A33" s="1" t="s">
        <v>38</v>
      </c>
      <c r="B33" s="1">
        <v>9.5239680372887395E-2</v>
      </c>
      <c r="C33" s="1">
        <v>1.6225087713981201</v>
      </c>
      <c r="D33" s="1">
        <v>1.3442973298353499E-3</v>
      </c>
      <c r="E33" s="2">
        <v>-2.5730959931115702E-5</v>
      </c>
      <c r="F33" s="1">
        <v>2.75439320215574</v>
      </c>
      <c r="G33" s="1">
        <v>40.256684199271596</v>
      </c>
      <c r="H33" s="1">
        <v>7.5220649110669595E-4</v>
      </c>
    </row>
    <row r="34" spans="1:8" ht="42.75">
      <c r="A34" s="1" t="s">
        <v>39</v>
      </c>
      <c r="B34" s="1">
        <v>9.4913957126963905E-2</v>
      </c>
      <c r="C34" s="1">
        <v>1.62291492391728</v>
      </c>
      <c r="D34" s="1">
        <v>1.43772511830718E-3</v>
      </c>
      <c r="E34" s="2">
        <v>-4.1698601260294102E-5</v>
      </c>
      <c r="F34" s="1">
        <v>2.5058633755690098</v>
      </c>
      <c r="G34" s="1">
        <v>39.396290401495797</v>
      </c>
      <c r="H34" s="1">
        <v>5.8425228018237302E-4</v>
      </c>
    </row>
    <row r="35" spans="1:8" ht="42.75">
      <c r="A35" s="1" t="s">
        <v>40</v>
      </c>
      <c r="B35" s="1">
        <v>9.5207811574283305E-2</v>
      </c>
      <c r="C35" s="1">
        <v>1.6230487407805401</v>
      </c>
      <c r="D35" s="1">
        <v>1.24652577022522E-3</v>
      </c>
      <c r="E35" s="2">
        <v>-1.7351720494869801E-5</v>
      </c>
      <c r="F35" s="1">
        <v>2.75471256240905</v>
      </c>
      <c r="G35" s="1">
        <v>39.299663730485896</v>
      </c>
      <c r="H35" s="1">
        <v>9.6209782359191404E-4</v>
      </c>
    </row>
    <row r="36" spans="1:8" ht="42.75">
      <c r="A36" s="1" t="s">
        <v>45</v>
      </c>
      <c r="B36" s="1">
        <v>9.5647976311610899E-2</v>
      </c>
      <c r="C36" s="1">
        <v>1.6233096332027901</v>
      </c>
      <c r="D36" s="1">
        <v>1.3091315532768001E-3</v>
      </c>
      <c r="E36" s="2">
        <v>-3.1249801477539601E-5</v>
      </c>
      <c r="F36" s="1">
        <v>2.7555001896123401</v>
      </c>
      <c r="G36" s="1">
        <v>41.015326681400303</v>
      </c>
      <c r="H36" s="1">
        <v>9.7182388077080896E-4</v>
      </c>
    </row>
    <row r="37" spans="1:8">
      <c r="A37" s="1"/>
      <c r="B37" s="1"/>
      <c r="C37" s="1"/>
      <c r="D37" s="2"/>
      <c r="E37" s="2"/>
      <c r="F37" s="1"/>
      <c r="G37" s="1"/>
      <c r="H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H42"/>
  <sheetViews>
    <sheetView tabSelected="1" workbookViewId="0">
      <selection activeCell="I6" sqref="I6"/>
    </sheetView>
  </sheetViews>
  <sheetFormatPr defaultRowHeight="14.25"/>
  <sheetData>
    <row r="1" spans="1:8">
      <c r="A1" s="1" t="s">
        <v>0</v>
      </c>
      <c r="B1" s="1" t="s">
        <v>4</v>
      </c>
      <c r="C1" s="1" t="s">
        <v>4</v>
      </c>
    </row>
    <row r="2" spans="1:8" ht="42.75">
      <c r="A2" s="1" t="s">
        <v>35</v>
      </c>
      <c r="B2" s="1">
        <v>5.9622611291336396</v>
      </c>
      <c r="C2" s="1">
        <v>9.4951214409789694E-2</v>
      </c>
    </row>
    <row r="3" spans="1:8" ht="42.75">
      <c r="A3" s="1" t="s">
        <v>36</v>
      </c>
      <c r="B3" s="1">
        <v>6.0066466306228703</v>
      </c>
      <c r="C3" s="1">
        <v>9.48427612752826E-2</v>
      </c>
      <c r="G3">
        <v>894</v>
      </c>
      <c r="H3">
        <v>456</v>
      </c>
    </row>
    <row r="4" spans="1:8" ht="42.75">
      <c r="A4" s="1" t="s">
        <v>37</v>
      </c>
      <c r="B4" s="1">
        <v>5.9421219928096498</v>
      </c>
      <c r="C4" s="1">
        <v>9.5323780436117694E-2</v>
      </c>
      <c r="F4" t="s">
        <v>1</v>
      </c>
      <c r="G4">
        <f>AVERAGE(B2:B39)</f>
        <v>5.9644634340003337</v>
      </c>
      <c r="H4">
        <f>AVERAGE(C2:C39)</f>
        <v>9.5440440050121422E-2</v>
      </c>
    </row>
    <row r="5" spans="1:8" ht="42.75">
      <c r="A5" s="1" t="s">
        <v>38</v>
      </c>
      <c r="B5" s="1">
        <v>5.97435305885893</v>
      </c>
      <c r="C5" s="1">
        <v>9.5239680372887395E-2</v>
      </c>
      <c r="F5" t="s">
        <v>2</v>
      </c>
      <c r="G5">
        <f>_xlfn.STDEV.S(B2:B39)</f>
        <v>2.1771789021344995E-2</v>
      </c>
      <c r="H5">
        <f>_xlfn.STDEV.S(C2:C39)</f>
        <v>3.8751589821754088E-4</v>
      </c>
    </row>
    <row r="6" spans="1:8" ht="42.75">
      <c r="A6" s="1" t="s">
        <v>39</v>
      </c>
      <c r="B6" s="1">
        <v>5.9503505932316996</v>
      </c>
      <c r="C6" s="1">
        <v>9.4913957126963905E-2</v>
      </c>
      <c r="F6" t="s">
        <v>3</v>
      </c>
      <c r="G6">
        <f>G5/G4/SQRT(COUNT(B2:B39))</f>
        <v>6.6644161687460807E-4</v>
      </c>
      <c r="H6">
        <f>H5/H4/SQRT(COUNT(C2:C39))</f>
        <v>7.4130420582776534E-4</v>
      </c>
    </row>
    <row r="7" spans="1:8" ht="42.75">
      <c r="A7" s="1" t="s">
        <v>40</v>
      </c>
      <c r="B7" s="1">
        <v>5.9548297693894297</v>
      </c>
      <c r="C7" s="1">
        <v>9.5207811574283305E-2</v>
      </c>
    </row>
    <row r="8" spans="1:8" ht="42.75">
      <c r="A8" s="1" t="s">
        <v>16</v>
      </c>
      <c r="B8" s="1">
        <v>5.9553030366034303</v>
      </c>
      <c r="C8" s="1">
        <v>9.5333549341072299E-2</v>
      </c>
    </row>
    <row r="9" spans="1:8" ht="42.75">
      <c r="A9" s="1" t="s">
        <v>17</v>
      </c>
      <c r="B9" s="1">
        <v>5.9714415945772101</v>
      </c>
      <c r="C9" s="1">
        <v>9.5272929905971096E-2</v>
      </c>
    </row>
    <row r="10" spans="1:8" ht="42.75">
      <c r="A10" s="1" t="s">
        <v>18</v>
      </c>
      <c r="B10" s="1">
        <v>5.9546595386126704</v>
      </c>
      <c r="C10" s="1">
        <v>9.5825730092529093E-2</v>
      </c>
    </row>
    <row r="11" spans="1:8" ht="42.75">
      <c r="A11" s="1" t="s">
        <v>19</v>
      </c>
      <c r="B11" s="1">
        <v>5.9526717332290202</v>
      </c>
      <c r="C11" s="1">
        <v>9.5557760398135405E-2</v>
      </c>
    </row>
    <row r="12" spans="1:8" ht="42.75">
      <c r="A12" s="1" t="s">
        <v>20</v>
      </c>
      <c r="B12" s="1">
        <v>5.9925762983853099</v>
      </c>
      <c r="C12" s="1">
        <v>9.5707695616314301E-2</v>
      </c>
    </row>
    <row r="13" spans="1:8" ht="42.75">
      <c r="A13" s="1" t="s">
        <v>21</v>
      </c>
      <c r="B13" s="1">
        <v>5.9607737827043099</v>
      </c>
      <c r="C13" s="1">
        <v>9.5513472864986904E-2</v>
      </c>
    </row>
    <row r="14" spans="1:8" ht="42.75">
      <c r="A14" s="1" t="s">
        <v>22</v>
      </c>
      <c r="B14" s="1">
        <v>5.9798136479539004</v>
      </c>
      <c r="C14" s="1">
        <v>9.5307639125115001E-2</v>
      </c>
    </row>
    <row r="15" spans="1:8" ht="42.75">
      <c r="A15" s="1" t="s">
        <v>23</v>
      </c>
      <c r="B15" s="1">
        <v>5.9855117155737396</v>
      </c>
      <c r="C15" s="1">
        <v>9.6102530139334702E-2</v>
      </c>
    </row>
    <row r="16" spans="1:8" ht="42.75">
      <c r="A16" s="1" t="s">
        <v>24</v>
      </c>
      <c r="B16" s="1">
        <v>6.0292733180363696</v>
      </c>
      <c r="C16" s="1">
        <v>9.5842612321962603E-2</v>
      </c>
    </row>
    <row r="17" spans="1:3" ht="42.75">
      <c r="A17" s="1" t="s">
        <v>25</v>
      </c>
      <c r="B17" s="1">
        <v>5.9440797542562098</v>
      </c>
      <c r="C17" s="1">
        <v>9.5502184039375396E-2</v>
      </c>
    </row>
    <row r="18" spans="1:3" ht="42.75">
      <c r="A18" s="1" t="s">
        <v>26</v>
      </c>
      <c r="B18" s="1">
        <v>5.9637069175640898</v>
      </c>
      <c r="C18" s="1">
        <v>9.5885385701222001E-2</v>
      </c>
    </row>
    <row r="19" spans="1:3" ht="42.75">
      <c r="A19" s="1" t="s">
        <v>27</v>
      </c>
      <c r="B19" s="1">
        <v>5.9851248839214604</v>
      </c>
      <c r="C19" s="1">
        <v>9.6439591076729503E-2</v>
      </c>
    </row>
    <row r="20" spans="1:3" ht="42.75">
      <c r="A20" s="1" t="s">
        <v>11</v>
      </c>
      <c r="B20" s="1">
        <v>5.9753311000708296</v>
      </c>
      <c r="C20" s="1">
        <v>9.5315139971463694E-2</v>
      </c>
    </row>
    <row r="21" spans="1:3" ht="42.75">
      <c r="A21" s="1" t="s">
        <v>12</v>
      </c>
      <c r="B21" s="1">
        <v>5.95595351810669</v>
      </c>
      <c r="C21" s="1">
        <v>9.5613752572800206E-2</v>
      </c>
    </row>
    <row r="22" spans="1:3" ht="42.75">
      <c r="A22" s="1" t="s">
        <v>13</v>
      </c>
      <c r="B22" s="1">
        <v>5.9436339167314696</v>
      </c>
      <c r="C22" s="1">
        <v>9.57329103303277E-2</v>
      </c>
    </row>
    <row r="23" spans="1:3" ht="42.75">
      <c r="A23" s="1" t="s">
        <v>14</v>
      </c>
      <c r="B23" s="1">
        <v>5.9680724903054401</v>
      </c>
      <c r="C23" s="1">
        <v>9.4740461511437099E-2</v>
      </c>
    </row>
    <row r="24" spans="1:3" ht="42.75">
      <c r="A24" s="1" t="s">
        <v>15</v>
      </c>
      <c r="B24" s="1">
        <v>5.97890051441588</v>
      </c>
      <c r="C24" s="1">
        <v>9.56068005906138E-2</v>
      </c>
    </row>
    <row r="25" spans="1:3" ht="42.75">
      <c r="A25" s="1" t="s">
        <v>28</v>
      </c>
      <c r="B25" s="1">
        <v>5.9641145262355701</v>
      </c>
      <c r="C25" s="1">
        <v>9.5241121615471297E-2</v>
      </c>
    </row>
    <row r="26" spans="1:3" ht="42.75">
      <c r="A26" s="1" t="s">
        <v>29</v>
      </c>
      <c r="B26" s="1">
        <v>5.9548137587277301</v>
      </c>
      <c r="C26" s="1">
        <v>9.5433597155929403E-2</v>
      </c>
    </row>
    <row r="27" spans="1:3" ht="42.75">
      <c r="A27" s="1" t="s">
        <v>30</v>
      </c>
      <c r="B27" s="1">
        <v>5.9412161279185698</v>
      </c>
      <c r="C27" s="1">
        <v>9.5987289369727502E-2</v>
      </c>
    </row>
    <row r="28" spans="1:3" ht="42.75">
      <c r="A28" s="1" t="s">
        <v>31</v>
      </c>
      <c r="B28" s="1">
        <v>5.9237749973025897</v>
      </c>
      <c r="C28" s="1">
        <v>9.5313166809118E-2</v>
      </c>
    </row>
    <row r="29" spans="1:3" ht="42.75">
      <c r="A29" s="1" t="s">
        <v>32</v>
      </c>
      <c r="B29" s="1">
        <v>5.9321677454244002</v>
      </c>
      <c r="C29" s="1">
        <v>9.5108590519696196E-2</v>
      </c>
    </row>
    <row r="30" spans="1:3" ht="42.75">
      <c r="A30" s="1" t="s">
        <v>33</v>
      </c>
      <c r="B30" s="1">
        <v>5.9655682681986404</v>
      </c>
      <c r="C30" s="1">
        <v>9.5279653817559096E-2</v>
      </c>
    </row>
    <row r="31" spans="1:3" ht="42.75">
      <c r="A31" s="1" t="s">
        <v>34</v>
      </c>
      <c r="B31" s="1">
        <v>5.9648566611082501</v>
      </c>
      <c r="C31" s="1">
        <v>9.5070431421425905E-2</v>
      </c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</row>
    <row r="41" spans="1:3">
      <c r="A41" s="1"/>
      <c r="B41" s="1"/>
    </row>
    <row r="42" spans="1:3">
      <c r="A42" s="1"/>
      <c r="B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2026-07-20T23:15:48Z</dcterms:modified>
</cp:coreProperties>
</file>