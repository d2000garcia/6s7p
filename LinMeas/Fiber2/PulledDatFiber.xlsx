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lfwalker\Documents\git\6s7p\LinMeas\Fiber2\"/>
    </mc:Choice>
  </mc:AlternateContent>
  <xr:revisionPtr revIDLastSave="0" documentId="13_ncr:1_{FF2227CC-2BA1-4110-A235-4368E898A159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PulledDa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" i="1" l="1"/>
  <c r="Y4" i="1" s="1"/>
  <c r="X5" i="1"/>
  <c r="Y5" i="1" s="1"/>
  <c r="X6" i="1"/>
  <c r="X7" i="1"/>
  <c r="X8" i="1"/>
  <c r="X9" i="1"/>
  <c r="X10" i="1"/>
  <c r="X11" i="1"/>
  <c r="X12" i="1"/>
  <c r="X13" i="1"/>
  <c r="X14" i="1"/>
  <c r="X15" i="1"/>
  <c r="Y15" i="1" s="1"/>
  <c r="X16" i="1"/>
  <c r="X17" i="1"/>
  <c r="X18" i="1"/>
  <c r="X19" i="1"/>
  <c r="X20" i="1"/>
  <c r="X21" i="1"/>
  <c r="X22" i="1"/>
  <c r="X23" i="1"/>
  <c r="X24" i="1"/>
  <c r="X25" i="1"/>
  <c r="Y25" i="1" s="1"/>
  <c r="X26" i="1"/>
  <c r="X27" i="1"/>
  <c r="X28" i="1"/>
  <c r="X29" i="1"/>
  <c r="X30" i="1"/>
  <c r="X31" i="1"/>
  <c r="Y31" i="1" s="1"/>
  <c r="X32" i="1"/>
  <c r="Y32" i="1" s="1"/>
  <c r="X33" i="1"/>
  <c r="X34" i="1"/>
  <c r="X35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" i="1"/>
  <c r="S4" i="1"/>
  <c r="T4" i="1" s="1"/>
  <c r="S5" i="1"/>
  <c r="T5" i="1" s="1"/>
  <c r="S6" i="1"/>
  <c r="T6" i="1" s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T22" i="1" s="1"/>
  <c r="S23" i="1"/>
  <c r="T23" i="1" s="1"/>
  <c r="S24" i="1"/>
  <c r="T24" i="1" s="1"/>
  <c r="S25" i="1"/>
  <c r="T25" i="1" s="1"/>
  <c r="S26" i="1"/>
  <c r="T26" i="1" s="1"/>
  <c r="S27" i="1"/>
  <c r="S28" i="1"/>
  <c r="S29" i="1"/>
  <c r="S30" i="1"/>
  <c r="S31" i="1"/>
  <c r="S32" i="1"/>
  <c r="S33" i="1"/>
  <c r="S34" i="1"/>
  <c r="S35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" i="1"/>
  <c r="T34" i="1" l="1"/>
  <c r="T14" i="1"/>
  <c r="T27" i="1"/>
  <c r="T7" i="1"/>
  <c r="Y24" i="1"/>
  <c r="Y17" i="1"/>
  <c r="T33" i="1"/>
  <c r="T13" i="1"/>
  <c r="T32" i="1"/>
  <c r="T12" i="1"/>
  <c r="T31" i="1"/>
  <c r="T11" i="1"/>
  <c r="T18" i="1"/>
  <c r="Y8" i="1"/>
  <c r="T21" i="1"/>
  <c r="T20" i="1"/>
  <c r="T19" i="1"/>
  <c r="Y14" i="1"/>
  <c r="Y30" i="1"/>
  <c r="Y16" i="1"/>
  <c r="Y26" i="1"/>
  <c r="Y7" i="1"/>
  <c r="Y3" i="1"/>
  <c r="T17" i="1"/>
  <c r="T30" i="1"/>
  <c r="T10" i="1"/>
  <c r="Y35" i="1"/>
  <c r="T3" i="1"/>
  <c r="T16" i="1"/>
  <c r="T29" i="1"/>
  <c r="T9" i="1"/>
  <c r="Y34" i="1"/>
  <c r="T35" i="1"/>
  <c r="T15" i="1"/>
  <c r="T28" i="1"/>
  <c r="T8" i="1"/>
  <c r="Y33" i="1"/>
  <c r="Y6" i="1"/>
  <c r="Y22" i="1"/>
  <c r="Y20" i="1"/>
  <c r="Y19" i="1"/>
  <c r="Y21" i="1"/>
  <c r="Y23" i="1"/>
  <c r="Y9" i="1"/>
  <c r="Y10" i="1"/>
  <c r="Y11" i="1"/>
  <c r="Y27" i="1"/>
  <c r="Y18" i="1"/>
  <c r="Y12" i="1"/>
  <c r="Y28" i="1"/>
  <c r="Y13" i="1"/>
  <c r="Y29" i="1"/>
</calcChain>
</file>

<file path=xl/sharedStrings.xml><?xml version="1.0" encoding="utf-8"?>
<sst xmlns="http://schemas.openxmlformats.org/spreadsheetml/2006/main" count="21" uniqueCount="15">
  <si>
    <t>lin</t>
  </si>
  <si>
    <t>quad</t>
  </si>
  <si>
    <t>%</t>
  </si>
  <si>
    <t>main cell PD</t>
  </si>
  <si>
    <t>Hot cell PD</t>
  </si>
  <si>
    <t>Hot</t>
  </si>
  <si>
    <t>Long</t>
  </si>
  <si>
    <t>Pwr</t>
  </si>
  <si>
    <t>Long Cell</t>
  </si>
  <si>
    <t>Pwr PD</t>
  </si>
  <si>
    <t>Hot Cell PD</t>
  </si>
  <si>
    <t>Long Cell x</t>
  </si>
  <si>
    <t>long cell x</t>
  </si>
  <si>
    <t>blue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</si>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</sst>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PulledDat!$B$1:$B$18</c:f>
              <c:numCache>
                <c:formatCode>General</c:formatCode>
                <c:ptCount val="18"/>
                <c:pt idx="0">
                  <c:v>8.5299999999999994E-3</c:v>
                </c:pt>
                <c:pt idx="1">
                  <c:v>2.1899999999999999E-2</c:v>
                </c:pt>
                <c:pt idx="2">
                  <c:v>3.8289999999999998E-2</c:v>
                </c:pt>
                <c:pt idx="3">
                  <c:v>5.5710000000000003E-2</c:v>
                </c:pt>
                <c:pt idx="4">
                  <c:v>7.4749999999999997E-2</c:v>
                </c:pt>
                <c:pt idx="5">
                  <c:v>0.11071</c:v>
                </c:pt>
                <c:pt idx="6">
                  <c:v>0.16789999999999999</c:v>
                </c:pt>
                <c:pt idx="7">
                  <c:v>0.23072000000000001</c:v>
                </c:pt>
                <c:pt idx="8">
                  <c:v>0.31335000000000002</c:v>
                </c:pt>
                <c:pt idx="9">
                  <c:v>0.43778</c:v>
                </c:pt>
                <c:pt idx="10">
                  <c:v>0.55401</c:v>
                </c:pt>
                <c:pt idx="11">
                  <c:v>0.65125999999999995</c:v>
                </c:pt>
                <c:pt idx="12">
                  <c:v>0.78022999999999998</c:v>
                </c:pt>
                <c:pt idx="13">
                  <c:v>0.90200999999999998</c:v>
                </c:pt>
                <c:pt idx="14">
                  <c:v>1.01953</c:v>
                </c:pt>
                <c:pt idx="15">
                  <c:v>1.4102300000000001</c:v>
                </c:pt>
                <c:pt idx="16">
                  <c:v>1.7698100000000001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10-443A-9294-9BAEF0171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482991"/>
        <c:axId val="922485487"/>
      </c:scatterChart>
      <c:valAx>
        <c:axId val="92248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85487"/>
        <c:crosses val="autoZero"/>
        <c:crossBetween val="midCat"/>
      </c:valAx>
      <c:valAx>
        <c:axId val="92248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8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Pwr PD x-axis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Hot Cell PD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2.5815229439426917E-2"/>
                  <c:y val="-6.36358285660965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PulledDat!$L$1:$L$18</c:f>
              <c:numCache>
                <c:formatCode>General</c:formatCode>
                <c:ptCount val="18"/>
                <c:pt idx="0">
                  <c:v>8.5299999999999994E-3</c:v>
                </c:pt>
                <c:pt idx="1">
                  <c:v>2.1899999999999999E-2</c:v>
                </c:pt>
                <c:pt idx="2">
                  <c:v>3.8289999999999998E-2</c:v>
                </c:pt>
                <c:pt idx="3">
                  <c:v>5.5710000000000003E-2</c:v>
                </c:pt>
                <c:pt idx="4">
                  <c:v>7.4749999999999997E-2</c:v>
                </c:pt>
                <c:pt idx="5">
                  <c:v>0.11071</c:v>
                </c:pt>
                <c:pt idx="6">
                  <c:v>0.16789999999999999</c:v>
                </c:pt>
                <c:pt idx="7">
                  <c:v>0.23072000000000001</c:v>
                </c:pt>
                <c:pt idx="8">
                  <c:v>0.31335000000000002</c:v>
                </c:pt>
                <c:pt idx="9">
                  <c:v>0.43778</c:v>
                </c:pt>
                <c:pt idx="10">
                  <c:v>0.55401</c:v>
                </c:pt>
                <c:pt idx="11">
                  <c:v>0.65125999999999995</c:v>
                </c:pt>
                <c:pt idx="12">
                  <c:v>0.78022999999999998</c:v>
                </c:pt>
                <c:pt idx="13">
                  <c:v>0.90200999999999998</c:v>
                </c:pt>
                <c:pt idx="14">
                  <c:v>1.01953</c:v>
                </c:pt>
                <c:pt idx="15">
                  <c:v>1.4102300000000001</c:v>
                </c:pt>
                <c:pt idx="16">
                  <c:v>1.7698100000000001</c:v>
                </c:pt>
              </c:numCache>
            </c:numRef>
          </c:xVal>
          <c:yVal>
            <c:numRef>
              <c:f>PulledDat!$M$1:$M$18</c:f>
              <c:numCache>
                <c:formatCode>General</c:formatCode>
                <c:ptCount val="18"/>
                <c:pt idx="0">
                  <c:v>5.3899999999999998E-3</c:v>
                </c:pt>
                <c:pt idx="1">
                  <c:v>1.3780000000000001E-2</c:v>
                </c:pt>
                <c:pt idx="2">
                  <c:v>2.4060000000000002E-2</c:v>
                </c:pt>
                <c:pt idx="3">
                  <c:v>3.4849999999999999E-2</c:v>
                </c:pt>
                <c:pt idx="4">
                  <c:v>4.6489999999999997E-2</c:v>
                </c:pt>
                <c:pt idx="5">
                  <c:v>6.8760000000000002E-2</c:v>
                </c:pt>
                <c:pt idx="6">
                  <c:v>0.10406</c:v>
                </c:pt>
                <c:pt idx="7">
                  <c:v>0.14448</c:v>
                </c:pt>
                <c:pt idx="8">
                  <c:v>0.19666</c:v>
                </c:pt>
                <c:pt idx="9">
                  <c:v>0.27632000000000001</c:v>
                </c:pt>
                <c:pt idx="10">
                  <c:v>0.35006999999999999</c:v>
                </c:pt>
                <c:pt idx="11">
                  <c:v>0.41243000000000002</c:v>
                </c:pt>
                <c:pt idx="12">
                  <c:v>0.49276999999999999</c:v>
                </c:pt>
                <c:pt idx="13">
                  <c:v>0.57164000000000004</c:v>
                </c:pt>
                <c:pt idx="14">
                  <c:v>0.64744000000000002</c:v>
                </c:pt>
                <c:pt idx="15">
                  <c:v>0.89741000000000004</c:v>
                </c:pt>
                <c:pt idx="16">
                  <c:v>1.1171899999999999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DB-4668-BC7B-191A0869F6CE}"/>
            </c:ext>
          </c:extLst>
        </c:ser>
        <c:ser>
          <c:idx val="1"/>
          <c:order val="1"/>
          <c:tx>
            <c:v>Long Cell PD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4791513300559184"/>
                  <c:y val="0.148794871356915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PulledDat!$L$1:$L$18</c:f>
              <c:numCache>
                <c:formatCode>General</c:formatCode>
                <c:ptCount val="18"/>
                <c:pt idx="0">
                  <c:v>8.5299999999999994E-3</c:v>
                </c:pt>
                <c:pt idx="1">
                  <c:v>2.1899999999999999E-2</c:v>
                </c:pt>
                <c:pt idx="2">
                  <c:v>3.8289999999999998E-2</c:v>
                </c:pt>
                <c:pt idx="3">
                  <c:v>5.5710000000000003E-2</c:v>
                </c:pt>
                <c:pt idx="4">
                  <c:v>7.4749999999999997E-2</c:v>
                </c:pt>
                <c:pt idx="5">
                  <c:v>0.11071</c:v>
                </c:pt>
                <c:pt idx="6">
                  <c:v>0.16789999999999999</c:v>
                </c:pt>
                <c:pt idx="7">
                  <c:v>0.23072000000000001</c:v>
                </c:pt>
                <c:pt idx="8">
                  <c:v>0.31335000000000002</c:v>
                </c:pt>
                <c:pt idx="9">
                  <c:v>0.43778</c:v>
                </c:pt>
                <c:pt idx="10">
                  <c:v>0.55401</c:v>
                </c:pt>
                <c:pt idx="11">
                  <c:v>0.65125999999999995</c:v>
                </c:pt>
                <c:pt idx="12">
                  <c:v>0.78022999999999998</c:v>
                </c:pt>
                <c:pt idx="13">
                  <c:v>0.90200999999999998</c:v>
                </c:pt>
                <c:pt idx="14">
                  <c:v>1.01953</c:v>
                </c:pt>
                <c:pt idx="15">
                  <c:v>1.4102300000000001</c:v>
                </c:pt>
                <c:pt idx="16">
                  <c:v>1.7698100000000001</c:v>
                </c:pt>
              </c:numCache>
            </c:numRef>
          </c:xVal>
          <c:yVal>
            <c:numRef>
              <c:f>PulledDat!$N$1:$N$18</c:f>
              <c:numCache>
                <c:formatCode>General</c:formatCode>
                <c:ptCount val="18"/>
                <c:pt idx="0">
                  <c:v>3.083E-2</c:v>
                </c:pt>
                <c:pt idx="1">
                  <c:v>7.7640000000000001E-2</c:v>
                </c:pt>
                <c:pt idx="2">
                  <c:v>0.13632</c:v>
                </c:pt>
                <c:pt idx="3">
                  <c:v>0.19761999999999999</c:v>
                </c:pt>
                <c:pt idx="4">
                  <c:v>0.26369999999999999</c:v>
                </c:pt>
                <c:pt idx="5">
                  <c:v>0.38929000000000002</c:v>
                </c:pt>
                <c:pt idx="6">
                  <c:v>0.59011000000000002</c:v>
                </c:pt>
                <c:pt idx="7">
                  <c:v>0.81655999999999995</c:v>
                </c:pt>
                <c:pt idx="8">
                  <c:v>1.10968</c:v>
                </c:pt>
                <c:pt idx="9">
                  <c:v>1.5582100000000001</c:v>
                </c:pt>
                <c:pt idx="10">
                  <c:v>1.97349</c:v>
                </c:pt>
                <c:pt idx="11">
                  <c:v>2.3239800000000002</c:v>
                </c:pt>
                <c:pt idx="12">
                  <c:v>2.7796099999999999</c:v>
                </c:pt>
                <c:pt idx="13">
                  <c:v>3.2214499999999999</c:v>
                </c:pt>
                <c:pt idx="14">
                  <c:v>3.64446</c:v>
                </c:pt>
                <c:pt idx="15">
                  <c:v>5.0528399999999998</c:v>
                </c:pt>
                <c:pt idx="16">
                  <c:v>6.3029700000000002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DB-4668-BC7B-191A0869F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971615"/>
        <c:axId val="925972031"/>
      </c:scatterChart>
      <c:valAx>
        <c:axId val="92597161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72031"/>
        <c:crosses val="autoZero"/>
        <c:crossBetween val="midCat"/>
      </c:valAx>
      <c:valAx>
        <c:axId val="9259720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71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Hot Cell PD x-axis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Long Cell PD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7768135724607457"/>
                  <c:y val="0.197810204917045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PulledDat!$L$20:$L$37</c:f>
              <c:numCache>
                <c:formatCode>General</c:formatCode>
                <c:ptCount val="18"/>
                <c:pt idx="0">
                  <c:v>5.3899999999999998E-3</c:v>
                </c:pt>
                <c:pt idx="1">
                  <c:v>1.3780000000000001E-2</c:v>
                </c:pt>
                <c:pt idx="2">
                  <c:v>2.4060000000000002E-2</c:v>
                </c:pt>
                <c:pt idx="3">
                  <c:v>3.4849999999999999E-2</c:v>
                </c:pt>
                <c:pt idx="4">
                  <c:v>4.6489999999999997E-2</c:v>
                </c:pt>
                <c:pt idx="5">
                  <c:v>6.8760000000000002E-2</c:v>
                </c:pt>
                <c:pt idx="6">
                  <c:v>0.10406</c:v>
                </c:pt>
                <c:pt idx="7">
                  <c:v>0.14448</c:v>
                </c:pt>
                <c:pt idx="8">
                  <c:v>0.19666</c:v>
                </c:pt>
                <c:pt idx="9">
                  <c:v>0.27632000000000001</c:v>
                </c:pt>
                <c:pt idx="10">
                  <c:v>0.35006999999999999</c:v>
                </c:pt>
                <c:pt idx="11">
                  <c:v>0.41243000000000002</c:v>
                </c:pt>
                <c:pt idx="12">
                  <c:v>0.49276999999999999</c:v>
                </c:pt>
                <c:pt idx="13">
                  <c:v>0.57164000000000004</c:v>
                </c:pt>
                <c:pt idx="14">
                  <c:v>0.64744000000000002</c:v>
                </c:pt>
                <c:pt idx="15">
                  <c:v>0.89741000000000004</c:v>
                </c:pt>
                <c:pt idx="16">
                  <c:v>1.1171899999999999</c:v>
                </c:pt>
              </c:numCache>
            </c:numRef>
          </c:xVal>
          <c:yVal>
            <c:numRef>
              <c:f>PulledDat!$M$20:$M$37</c:f>
              <c:numCache>
                <c:formatCode>General</c:formatCode>
                <c:ptCount val="18"/>
                <c:pt idx="0">
                  <c:v>3.083E-2</c:v>
                </c:pt>
                <c:pt idx="1">
                  <c:v>7.7640000000000001E-2</c:v>
                </c:pt>
                <c:pt idx="2">
                  <c:v>0.13632</c:v>
                </c:pt>
                <c:pt idx="3">
                  <c:v>0.19761999999999999</c:v>
                </c:pt>
                <c:pt idx="4">
                  <c:v>0.26369999999999999</c:v>
                </c:pt>
                <c:pt idx="5">
                  <c:v>0.38929000000000002</c:v>
                </c:pt>
                <c:pt idx="6">
                  <c:v>0.59011000000000002</c:v>
                </c:pt>
                <c:pt idx="7">
                  <c:v>0.81655999999999995</c:v>
                </c:pt>
                <c:pt idx="8">
                  <c:v>1.10968</c:v>
                </c:pt>
                <c:pt idx="9">
                  <c:v>1.5582100000000001</c:v>
                </c:pt>
                <c:pt idx="10">
                  <c:v>1.97349</c:v>
                </c:pt>
                <c:pt idx="11">
                  <c:v>2.3239800000000002</c:v>
                </c:pt>
                <c:pt idx="12">
                  <c:v>2.7796099999999999</c:v>
                </c:pt>
                <c:pt idx="13">
                  <c:v>3.2214499999999999</c:v>
                </c:pt>
                <c:pt idx="14">
                  <c:v>3.64446</c:v>
                </c:pt>
                <c:pt idx="15">
                  <c:v>5.0528399999999998</c:v>
                </c:pt>
                <c:pt idx="16">
                  <c:v>6.3029700000000002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C0-48BF-AF8A-628D60D7B093}"/>
            </c:ext>
          </c:extLst>
        </c:ser>
        <c:ser>
          <c:idx val="1"/>
          <c:order val="1"/>
          <c:tx>
            <c:v>Pwr PD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5.2405127033159533E-2"/>
                  <c:y val="-4.00210082887843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PulledDat!$L$20:$L$37</c:f>
              <c:numCache>
                <c:formatCode>General</c:formatCode>
                <c:ptCount val="18"/>
                <c:pt idx="0">
                  <c:v>5.3899999999999998E-3</c:v>
                </c:pt>
                <c:pt idx="1">
                  <c:v>1.3780000000000001E-2</c:v>
                </c:pt>
                <c:pt idx="2">
                  <c:v>2.4060000000000002E-2</c:v>
                </c:pt>
                <c:pt idx="3">
                  <c:v>3.4849999999999999E-2</c:v>
                </c:pt>
                <c:pt idx="4">
                  <c:v>4.6489999999999997E-2</c:v>
                </c:pt>
                <c:pt idx="5">
                  <c:v>6.8760000000000002E-2</c:v>
                </c:pt>
                <c:pt idx="6">
                  <c:v>0.10406</c:v>
                </c:pt>
                <c:pt idx="7">
                  <c:v>0.14448</c:v>
                </c:pt>
                <c:pt idx="8">
                  <c:v>0.19666</c:v>
                </c:pt>
                <c:pt idx="9">
                  <c:v>0.27632000000000001</c:v>
                </c:pt>
                <c:pt idx="10">
                  <c:v>0.35006999999999999</c:v>
                </c:pt>
                <c:pt idx="11">
                  <c:v>0.41243000000000002</c:v>
                </c:pt>
                <c:pt idx="12">
                  <c:v>0.49276999999999999</c:v>
                </c:pt>
                <c:pt idx="13">
                  <c:v>0.57164000000000004</c:v>
                </c:pt>
                <c:pt idx="14">
                  <c:v>0.64744000000000002</c:v>
                </c:pt>
                <c:pt idx="15">
                  <c:v>0.89741000000000004</c:v>
                </c:pt>
                <c:pt idx="16">
                  <c:v>1.1171899999999999</c:v>
                </c:pt>
              </c:numCache>
            </c:numRef>
          </c:xVal>
          <c:yVal>
            <c:numRef>
              <c:f>PulledDat!$N$20:$N$37</c:f>
              <c:numCache>
                <c:formatCode>General</c:formatCode>
                <c:ptCount val="18"/>
                <c:pt idx="0">
                  <c:v>8.5299999999999994E-3</c:v>
                </c:pt>
                <c:pt idx="1">
                  <c:v>2.1899999999999999E-2</c:v>
                </c:pt>
                <c:pt idx="2">
                  <c:v>3.8289999999999998E-2</c:v>
                </c:pt>
                <c:pt idx="3">
                  <c:v>5.5710000000000003E-2</c:v>
                </c:pt>
                <c:pt idx="4">
                  <c:v>7.4749999999999997E-2</c:v>
                </c:pt>
                <c:pt idx="5">
                  <c:v>0.11071</c:v>
                </c:pt>
                <c:pt idx="6">
                  <c:v>0.16789999999999999</c:v>
                </c:pt>
                <c:pt idx="7">
                  <c:v>0.23072000000000001</c:v>
                </c:pt>
                <c:pt idx="8">
                  <c:v>0.31335000000000002</c:v>
                </c:pt>
                <c:pt idx="9">
                  <c:v>0.43778</c:v>
                </c:pt>
                <c:pt idx="10">
                  <c:v>0.55401</c:v>
                </c:pt>
                <c:pt idx="11">
                  <c:v>0.65125999999999995</c:v>
                </c:pt>
                <c:pt idx="12">
                  <c:v>0.78022999999999998</c:v>
                </c:pt>
                <c:pt idx="13">
                  <c:v>0.90200999999999998</c:v>
                </c:pt>
                <c:pt idx="14">
                  <c:v>1.01953</c:v>
                </c:pt>
                <c:pt idx="15">
                  <c:v>1.4102300000000001</c:v>
                </c:pt>
                <c:pt idx="16">
                  <c:v>1.7698100000000001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C0-48BF-AF8A-628D60D7B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971615"/>
        <c:axId val="925972031"/>
      </c:scatterChart>
      <c:valAx>
        <c:axId val="92597161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72031"/>
        <c:crosses val="autoZero"/>
        <c:crossBetween val="midCat"/>
      </c:valAx>
      <c:valAx>
        <c:axId val="9259720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71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</a:t>
            </a:r>
            <a:r>
              <a:rPr lang="en-US" baseline="0"/>
              <a:t> Cell PD x-axis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Pwr PD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31174973398595446"/>
                  <c:y val="0.198226247236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PulledDat!$L$39:$L$55</c:f>
              <c:numCache>
                <c:formatCode>General</c:formatCode>
                <c:ptCount val="17"/>
                <c:pt idx="0">
                  <c:v>3.083E-2</c:v>
                </c:pt>
                <c:pt idx="1">
                  <c:v>7.7640000000000001E-2</c:v>
                </c:pt>
                <c:pt idx="2">
                  <c:v>0.13632</c:v>
                </c:pt>
                <c:pt idx="3">
                  <c:v>0.19761999999999999</c:v>
                </c:pt>
                <c:pt idx="4">
                  <c:v>0.26369999999999999</c:v>
                </c:pt>
                <c:pt idx="5">
                  <c:v>0.38929000000000002</c:v>
                </c:pt>
                <c:pt idx="6">
                  <c:v>0.59011000000000002</c:v>
                </c:pt>
                <c:pt idx="7">
                  <c:v>0.81655999999999995</c:v>
                </c:pt>
                <c:pt idx="8">
                  <c:v>1.10968</c:v>
                </c:pt>
                <c:pt idx="9">
                  <c:v>1.5582100000000001</c:v>
                </c:pt>
                <c:pt idx="10">
                  <c:v>1.97349</c:v>
                </c:pt>
                <c:pt idx="11">
                  <c:v>2.3239800000000002</c:v>
                </c:pt>
                <c:pt idx="12">
                  <c:v>2.7796099999999999</c:v>
                </c:pt>
                <c:pt idx="13">
                  <c:v>3.2214499999999999</c:v>
                </c:pt>
                <c:pt idx="14">
                  <c:v>3.64446</c:v>
                </c:pt>
                <c:pt idx="15">
                  <c:v>5.0528399999999998</c:v>
                </c:pt>
                <c:pt idx="16">
                  <c:v>6.3029700000000002</c:v>
                </c:pt>
              </c:numCache>
            </c:numRef>
          </c:xVal>
          <c:yVal>
            <c:numRef>
              <c:f>PulledDat!$M$39:$M$55</c:f>
              <c:numCache>
                <c:formatCode>General</c:formatCode>
                <c:ptCount val="17"/>
                <c:pt idx="0">
                  <c:v>8.5299999999999994E-3</c:v>
                </c:pt>
                <c:pt idx="1">
                  <c:v>2.1899999999999999E-2</c:v>
                </c:pt>
                <c:pt idx="2">
                  <c:v>3.8289999999999998E-2</c:v>
                </c:pt>
                <c:pt idx="3">
                  <c:v>5.5710000000000003E-2</c:v>
                </c:pt>
                <c:pt idx="4">
                  <c:v>7.4749999999999997E-2</c:v>
                </c:pt>
                <c:pt idx="5">
                  <c:v>0.11071</c:v>
                </c:pt>
                <c:pt idx="6">
                  <c:v>0.16789999999999999</c:v>
                </c:pt>
                <c:pt idx="7">
                  <c:v>0.23072000000000001</c:v>
                </c:pt>
                <c:pt idx="8">
                  <c:v>0.31335000000000002</c:v>
                </c:pt>
                <c:pt idx="9">
                  <c:v>0.43778</c:v>
                </c:pt>
                <c:pt idx="10">
                  <c:v>0.55401</c:v>
                </c:pt>
                <c:pt idx="11">
                  <c:v>0.65125999999999995</c:v>
                </c:pt>
                <c:pt idx="12">
                  <c:v>0.78022999999999998</c:v>
                </c:pt>
                <c:pt idx="13">
                  <c:v>0.90200999999999998</c:v>
                </c:pt>
                <c:pt idx="14">
                  <c:v>1.01953</c:v>
                </c:pt>
                <c:pt idx="15">
                  <c:v>1.4102300000000001</c:v>
                </c:pt>
                <c:pt idx="16">
                  <c:v>1.7698100000000001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BE-4468-B768-53B352461447}"/>
            </c:ext>
          </c:extLst>
        </c:ser>
        <c:ser>
          <c:idx val="1"/>
          <c:order val="1"/>
          <c:tx>
            <c:v>Hot Cell PD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9.4002420954266037E-3"/>
                  <c:y val="0.18846479352633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PulledDat!$L$39:$L$55</c:f>
              <c:numCache>
                <c:formatCode>General</c:formatCode>
                <c:ptCount val="17"/>
                <c:pt idx="0">
                  <c:v>3.083E-2</c:v>
                </c:pt>
                <c:pt idx="1">
                  <c:v>7.7640000000000001E-2</c:v>
                </c:pt>
                <c:pt idx="2">
                  <c:v>0.13632</c:v>
                </c:pt>
                <c:pt idx="3">
                  <c:v>0.19761999999999999</c:v>
                </c:pt>
                <c:pt idx="4">
                  <c:v>0.26369999999999999</c:v>
                </c:pt>
                <c:pt idx="5">
                  <c:v>0.38929000000000002</c:v>
                </c:pt>
                <c:pt idx="6">
                  <c:v>0.59011000000000002</c:v>
                </c:pt>
                <c:pt idx="7">
                  <c:v>0.81655999999999995</c:v>
                </c:pt>
                <c:pt idx="8">
                  <c:v>1.10968</c:v>
                </c:pt>
                <c:pt idx="9">
                  <c:v>1.5582100000000001</c:v>
                </c:pt>
                <c:pt idx="10">
                  <c:v>1.97349</c:v>
                </c:pt>
                <c:pt idx="11">
                  <c:v>2.3239800000000002</c:v>
                </c:pt>
                <c:pt idx="12">
                  <c:v>2.7796099999999999</c:v>
                </c:pt>
                <c:pt idx="13">
                  <c:v>3.2214499999999999</c:v>
                </c:pt>
                <c:pt idx="14">
                  <c:v>3.64446</c:v>
                </c:pt>
                <c:pt idx="15">
                  <c:v>5.0528399999999998</c:v>
                </c:pt>
                <c:pt idx="16">
                  <c:v>6.3029700000000002</c:v>
                </c:pt>
              </c:numCache>
            </c:numRef>
          </c:xVal>
          <c:yVal>
            <c:numRef>
              <c:f>PulledDat!$N$39:$N$55</c:f>
              <c:numCache>
                <c:formatCode>General</c:formatCode>
                <c:ptCount val="17"/>
                <c:pt idx="0">
                  <c:v>5.3899999999999998E-3</c:v>
                </c:pt>
                <c:pt idx="1">
                  <c:v>1.3780000000000001E-2</c:v>
                </c:pt>
                <c:pt idx="2">
                  <c:v>2.4060000000000002E-2</c:v>
                </c:pt>
                <c:pt idx="3">
                  <c:v>3.4849999999999999E-2</c:v>
                </c:pt>
                <c:pt idx="4">
                  <c:v>4.6489999999999997E-2</c:v>
                </c:pt>
                <c:pt idx="5">
                  <c:v>6.8760000000000002E-2</c:v>
                </c:pt>
                <c:pt idx="6">
                  <c:v>0.10406</c:v>
                </c:pt>
                <c:pt idx="7">
                  <c:v>0.14448</c:v>
                </c:pt>
                <c:pt idx="8">
                  <c:v>0.19666</c:v>
                </c:pt>
                <c:pt idx="9">
                  <c:v>0.27632000000000001</c:v>
                </c:pt>
                <c:pt idx="10">
                  <c:v>0.35006999999999999</c:v>
                </c:pt>
                <c:pt idx="11">
                  <c:v>0.41243000000000002</c:v>
                </c:pt>
                <c:pt idx="12">
                  <c:v>0.49276999999999999</c:v>
                </c:pt>
                <c:pt idx="13">
                  <c:v>0.57164000000000004</c:v>
                </c:pt>
                <c:pt idx="14">
                  <c:v>0.64744000000000002</c:v>
                </c:pt>
                <c:pt idx="15">
                  <c:v>0.89741000000000004</c:v>
                </c:pt>
                <c:pt idx="16">
                  <c:v>1.1171899999999999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BE-4468-B768-53B352461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971615"/>
        <c:axId val="925972031"/>
      </c:scatterChart>
      <c:valAx>
        <c:axId val="92597161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72031"/>
        <c:crosses val="autoZero"/>
        <c:crossBetween val="midCat"/>
      </c:valAx>
      <c:valAx>
        <c:axId val="9259720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71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149225</xdr:colOff>
      <xdr:row>47</xdr:row>
      <xdr:rowOff>55562</xdr:rowOff>
    </xdr:from>
    <xdr:to>
      <xdr:col>8</xdr:col>
      <xdr:colOff>454025</xdr:colOff>
      <xdr:row>61</xdr:row>
      <xdr:rowOff>125412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027A6E-327B-4A51-AA4E-F321D78FD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190501</xdr:colOff>
      <xdr:row>10</xdr:row>
      <xdr:rowOff>136525</xdr:rowOff>
    </xdr:from>
    <xdr:to>
      <xdr:col>31</xdr:col>
      <xdr:colOff>61913</xdr:colOff>
      <xdr:row>34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8DDB061-1156-490B-B565-743AF5BA0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171451</xdr:colOff>
      <xdr:row>35</xdr:row>
      <xdr:rowOff>50800</xdr:rowOff>
    </xdr:from>
    <xdr:to>
      <xdr:col>31</xdr:col>
      <xdr:colOff>215901</xdr:colOff>
      <xdr:row>62</xdr:row>
      <xdr:rowOff>139699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9BECB24-FF44-4BF8-91E2-17A3C9477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266700</xdr:colOff>
      <xdr:row>16</xdr:row>
      <xdr:rowOff>158750</xdr:rowOff>
    </xdr:from>
    <xdr:to>
      <xdr:col>15</xdr:col>
      <xdr:colOff>482600</xdr:colOff>
      <xdr:row>47</xdr:row>
      <xdr:rowOff>50801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3F3A7FE-7436-4800-944E-4BFC4C2CF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6"/>
  <sheetViews>
    <sheetView tabSelected="1" workbookViewId="0">
      <selection activeCell="M60" sqref="M60:N60"/>
    </sheetView>
  </sheetViews>
  <sheetFormatPr defaultRowHeight="14.5" x14ac:dyDescent="0.35"/>
  <sheetData>
    <row r="1" spans="1:30" x14ac:dyDescent="0.35">
      <c r="A1">
        <v>3.083E-2</v>
      </c>
      <c r="B1">
        <v>8.5299999999999994E-3</v>
      </c>
      <c r="C1">
        <v>5.3899999999999998E-3</v>
      </c>
      <c r="D1">
        <v>2.96E-3</v>
      </c>
      <c r="E1">
        <v>5.4000000000000001E-4</v>
      </c>
      <c r="F1">
        <v>2.0400000000000001E-3</v>
      </c>
      <c r="G1">
        <v>3.6185900000000002</v>
      </c>
      <c r="H1">
        <v>0.63238000000000005</v>
      </c>
      <c r="I1">
        <v>5.9039299999999999</v>
      </c>
      <c r="K1" t="s">
        <v>11</v>
      </c>
      <c r="L1">
        <v>8.5299999999999994E-3</v>
      </c>
      <c r="M1">
        <v>5.3899999999999998E-3</v>
      </c>
      <c r="N1">
        <v>3.083E-2</v>
      </c>
      <c r="R1" t="s">
        <v>3</v>
      </c>
      <c r="W1" t="s">
        <v>4</v>
      </c>
    </row>
    <row r="2" spans="1:30" x14ac:dyDescent="0.35">
      <c r="A2">
        <v>7.7640000000000001E-2</v>
      </c>
      <c r="B2">
        <v>2.1899999999999999E-2</v>
      </c>
      <c r="C2">
        <v>1.3780000000000001E-2</v>
      </c>
      <c r="D2">
        <v>2.99E-3</v>
      </c>
      <c r="E2">
        <v>5.5000000000000003E-4</v>
      </c>
      <c r="F2">
        <v>2.0600000000000002E-3</v>
      </c>
      <c r="G2">
        <v>3.5456400000000001</v>
      </c>
      <c r="H2">
        <v>0.62922</v>
      </c>
      <c r="I2">
        <v>5.6607099999999999</v>
      </c>
      <c r="L2">
        <v>2.1899999999999999E-2</v>
      </c>
      <c r="M2">
        <v>1.3780000000000001E-2</v>
      </c>
      <c r="N2">
        <v>7.7640000000000001E-2</v>
      </c>
      <c r="R2" t="s">
        <v>0</v>
      </c>
      <c r="S2" t="s">
        <v>1</v>
      </c>
      <c r="T2" t="s">
        <v>2</v>
      </c>
      <c r="W2" t="s">
        <v>0</v>
      </c>
      <c r="X2" t="s">
        <v>1</v>
      </c>
      <c r="Y2" t="s">
        <v>2</v>
      </c>
    </row>
    <row r="3" spans="1:30" x14ac:dyDescent="0.35">
      <c r="A3">
        <v>0.13632</v>
      </c>
      <c r="B3">
        <v>3.8289999999999998E-2</v>
      </c>
      <c r="C3">
        <v>2.4060000000000002E-2</v>
      </c>
      <c r="D3">
        <v>3.0500000000000002E-3</v>
      </c>
      <c r="E3">
        <v>5.5000000000000003E-4</v>
      </c>
      <c r="F3">
        <v>2.0600000000000002E-3</v>
      </c>
      <c r="G3">
        <v>3.5605899999999999</v>
      </c>
      <c r="H3">
        <v>0.62841000000000002</v>
      </c>
      <c r="I3">
        <v>5.6743499999999996</v>
      </c>
      <c r="L3">
        <v>3.8289999999999998E-2</v>
      </c>
      <c r="M3">
        <v>2.4060000000000002E-2</v>
      </c>
      <c r="N3">
        <v>0.13632</v>
      </c>
      <c r="Q3">
        <v>0.2</v>
      </c>
      <c r="R3">
        <f>Q3*0.4723</f>
        <v>9.4460000000000002E-2</v>
      </c>
      <c r="S3">
        <f>Q3*Q3*0.0081</f>
        <v>3.2400000000000007E-4</v>
      </c>
      <c r="T3">
        <f>S3/R3*100</f>
        <v>0.34300232902816014</v>
      </c>
      <c r="V3">
        <v>0.2</v>
      </c>
      <c r="W3">
        <f>V3*0.1801</f>
        <v>3.6020000000000003E-2</v>
      </c>
      <c r="X3">
        <f>V3*V3*0.001</f>
        <v>4.000000000000001E-5</v>
      </c>
      <c r="Y3">
        <f>X3/W3*100</f>
        <v>0.11104941699056081</v>
      </c>
      <c r="AB3" t="s">
        <v>5</v>
      </c>
      <c r="AC3" t="s">
        <v>6</v>
      </c>
      <c r="AD3" t="s">
        <v>7</v>
      </c>
    </row>
    <row r="4" spans="1:30" x14ac:dyDescent="0.35">
      <c r="A4">
        <v>0.19761999999999999</v>
      </c>
      <c r="B4">
        <v>5.5710000000000003E-2</v>
      </c>
      <c r="C4">
        <v>3.4849999999999999E-2</v>
      </c>
      <c r="D4">
        <v>3.0999999999999999E-3</v>
      </c>
      <c r="E4">
        <v>5.5999999999999995E-4</v>
      </c>
      <c r="F4">
        <v>2.0699999999999998E-3</v>
      </c>
      <c r="G4">
        <v>3.5474399999999999</v>
      </c>
      <c r="H4">
        <v>0.62549999999999994</v>
      </c>
      <c r="I4">
        <v>5.6755800000000001</v>
      </c>
      <c r="L4">
        <v>5.5710000000000003E-2</v>
      </c>
      <c r="M4">
        <v>3.4849999999999999E-2</v>
      </c>
      <c r="N4">
        <v>0.19761999999999999</v>
      </c>
      <c r="Q4">
        <v>0.4</v>
      </c>
      <c r="R4">
        <f t="shared" ref="R4:R35" si="0">Q4*0.4723</f>
        <v>0.18892</v>
      </c>
      <c r="S4">
        <f t="shared" ref="S4:S35" si="1">Q4*Q4*0.0081</f>
        <v>1.2960000000000003E-3</v>
      </c>
      <c r="T4">
        <f t="shared" ref="T4:T35" si="2">S4/R4*100</f>
        <v>0.68600465805632027</v>
      </c>
      <c r="V4">
        <v>0.4</v>
      </c>
      <c r="W4">
        <f t="shared" ref="W4:W35" si="3">V4*0.1801</f>
        <v>7.2040000000000007E-2</v>
      </c>
      <c r="X4">
        <f t="shared" ref="X4:X35" si="4">V4*V4*0.001</f>
        <v>1.6000000000000004E-4</v>
      </c>
      <c r="Y4">
        <f t="shared" ref="Y4:Y35" si="5">X4/W4*100</f>
        <v>0.22209883398112162</v>
      </c>
      <c r="AA4" t="s">
        <v>5</v>
      </c>
    </row>
    <row r="5" spans="1:30" x14ac:dyDescent="0.35">
      <c r="A5">
        <v>0.26369999999999999</v>
      </c>
      <c r="B5">
        <v>7.4749999999999997E-2</v>
      </c>
      <c r="C5">
        <v>4.6489999999999997E-2</v>
      </c>
      <c r="D5">
        <v>3.3600000000000001E-3</v>
      </c>
      <c r="E5">
        <v>6.4000000000000005E-4</v>
      </c>
      <c r="F5">
        <v>2.0500000000000002E-3</v>
      </c>
      <c r="G5">
        <v>3.5276399999999999</v>
      </c>
      <c r="H5">
        <v>0.62195</v>
      </c>
      <c r="I5">
        <v>5.6741099999999998</v>
      </c>
      <c r="L5">
        <v>7.4749999999999997E-2</v>
      </c>
      <c r="M5">
        <v>4.6489999999999997E-2</v>
      </c>
      <c r="N5">
        <v>0.26369999999999999</v>
      </c>
      <c r="Q5">
        <v>0.6</v>
      </c>
      <c r="R5">
        <f t="shared" si="0"/>
        <v>0.28337999999999997</v>
      </c>
      <c r="S5">
        <f t="shared" si="1"/>
        <v>2.9159999999999998E-3</v>
      </c>
      <c r="T5">
        <f t="shared" si="2"/>
        <v>1.0290069870844802</v>
      </c>
      <c r="V5">
        <v>0.6</v>
      </c>
      <c r="W5">
        <f t="shared" si="3"/>
        <v>0.10806</v>
      </c>
      <c r="X5">
        <f t="shared" si="4"/>
        <v>3.5999999999999997E-4</v>
      </c>
      <c r="Y5">
        <f t="shared" si="5"/>
        <v>0.33314825097168238</v>
      </c>
      <c r="AA5" t="s">
        <v>6</v>
      </c>
    </row>
    <row r="6" spans="1:30" x14ac:dyDescent="0.35">
      <c r="A6">
        <v>0.38929000000000002</v>
      </c>
      <c r="B6">
        <v>0.11071</v>
      </c>
      <c r="C6">
        <v>6.8760000000000002E-2</v>
      </c>
      <c r="D6">
        <v>3.4399999999999999E-3</v>
      </c>
      <c r="E6">
        <v>6.6E-4</v>
      </c>
      <c r="F6">
        <v>2.0600000000000002E-3</v>
      </c>
      <c r="G6">
        <v>3.51633</v>
      </c>
      <c r="H6">
        <v>0.62111000000000005</v>
      </c>
      <c r="I6">
        <v>5.6623400000000004</v>
      </c>
      <c r="L6">
        <v>0.11071</v>
      </c>
      <c r="M6">
        <v>6.8760000000000002E-2</v>
      </c>
      <c r="N6">
        <v>0.38929000000000002</v>
      </c>
      <c r="Q6">
        <v>0.8</v>
      </c>
      <c r="R6">
        <f t="shared" si="0"/>
        <v>0.37784000000000001</v>
      </c>
      <c r="S6">
        <f t="shared" si="1"/>
        <v>5.1840000000000011E-3</v>
      </c>
      <c r="T6">
        <f t="shared" si="2"/>
        <v>1.3720093161126405</v>
      </c>
      <c r="V6">
        <v>0.8</v>
      </c>
      <c r="W6">
        <f t="shared" si="3"/>
        <v>0.14408000000000001</v>
      </c>
      <c r="X6">
        <f t="shared" si="4"/>
        <v>6.4000000000000016E-4</v>
      </c>
      <c r="Y6">
        <f t="shared" si="5"/>
        <v>0.44419766796224325</v>
      </c>
      <c r="AA6" t="s">
        <v>7</v>
      </c>
    </row>
    <row r="7" spans="1:30" x14ac:dyDescent="0.35">
      <c r="A7">
        <v>0.59011000000000002</v>
      </c>
      <c r="B7">
        <v>0.16789999999999999</v>
      </c>
      <c r="C7">
        <v>0.10406</v>
      </c>
      <c r="D7">
        <v>3.63E-3</v>
      </c>
      <c r="E7">
        <v>7.2999999999999996E-4</v>
      </c>
      <c r="F7">
        <v>2.0899999999999998E-3</v>
      </c>
      <c r="G7">
        <v>3.51458</v>
      </c>
      <c r="H7">
        <v>0.61973999999999996</v>
      </c>
      <c r="I7">
        <v>5.6715200000000001</v>
      </c>
      <c r="L7">
        <v>0.16789999999999999</v>
      </c>
      <c r="M7">
        <v>0.10406</v>
      </c>
      <c r="N7">
        <v>0.59011000000000002</v>
      </c>
      <c r="Q7">
        <v>1</v>
      </c>
      <c r="R7">
        <f t="shared" si="0"/>
        <v>0.4723</v>
      </c>
      <c r="S7">
        <f t="shared" si="1"/>
        <v>8.0999999999999996E-3</v>
      </c>
      <c r="T7">
        <f t="shared" si="2"/>
        <v>1.7150116451408002</v>
      </c>
      <c r="V7">
        <v>1</v>
      </c>
      <c r="W7">
        <f t="shared" si="3"/>
        <v>0.18010000000000001</v>
      </c>
      <c r="X7">
        <f t="shared" si="4"/>
        <v>1E-3</v>
      </c>
      <c r="Y7">
        <f t="shared" si="5"/>
        <v>0.55524708495280395</v>
      </c>
    </row>
    <row r="8" spans="1:30" x14ac:dyDescent="0.35">
      <c r="A8">
        <v>0.81655999999999995</v>
      </c>
      <c r="B8">
        <v>0.23072000000000001</v>
      </c>
      <c r="C8">
        <v>0.14448</v>
      </c>
      <c r="D8">
        <v>4.1000000000000003E-3</v>
      </c>
      <c r="E8">
        <v>8.8000000000000003E-4</v>
      </c>
      <c r="F8">
        <v>2.15E-3</v>
      </c>
      <c r="G8">
        <v>3.5391699999999999</v>
      </c>
      <c r="H8">
        <v>0.62622999999999995</v>
      </c>
      <c r="I8">
        <v>5.6518300000000004</v>
      </c>
      <c r="L8">
        <v>0.23072000000000001</v>
      </c>
      <c r="M8">
        <v>0.14448</v>
      </c>
      <c r="N8">
        <v>0.81655999999999995</v>
      </c>
      <c r="Q8">
        <v>1.2</v>
      </c>
      <c r="R8">
        <f t="shared" si="0"/>
        <v>0.56675999999999993</v>
      </c>
      <c r="S8">
        <f t="shared" si="1"/>
        <v>1.1663999999999999E-2</v>
      </c>
      <c r="T8">
        <f t="shared" si="2"/>
        <v>2.0580139741689605</v>
      </c>
      <c r="V8">
        <v>1.2</v>
      </c>
      <c r="W8">
        <f t="shared" si="3"/>
        <v>0.21612000000000001</v>
      </c>
      <c r="X8">
        <f t="shared" si="4"/>
        <v>1.4399999999999999E-3</v>
      </c>
      <c r="Y8">
        <f t="shared" si="5"/>
        <v>0.66629650194336476</v>
      </c>
    </row>
    <row r="9" spans="1:30" x14ac:dyDescent="0.35">
      <c r="A9">
        <v>1.10968</v>
      </c>
      <c r="B9">
        <v>0.31335000000000002</v>
      </c>
      <c r="C9">
        <v>0.19666</v>
      </c>
      <c r="D9">
        <v>4.3E-3</v>
      </c>
      <c r="E9">
        <v>9.2000000000000003E-4</v>
      </c>
      <c r="F9">
        <v>2.15E-3</v>
      </c>
      <c r="G9">
        <v>3.5413899999999998</v>
      </c>
      <c r="H9">
        <v>0.62761</v>
      </c>
      <c r="I9">
        <v>5.6428200000000004</v>
      </c>
      <c r="L9">
        <v>0.31335000000000002</v>
      </c>
      <c r="M9">
        <v>0.19666</v>
      </c>
      <c r="N9">
        <v>1.10968</v>
      </c>
      <c r="Q9">
        <v>1.4</v>
      </c>
      <c r="R9">
        <f t="shared" si="0"/>
        <v>0.66121999999999992</v>
      </c>
      <c r="S9">
        <f t="shared" si="1"/>
        <v>1.5875999999999998E-2</v>
      </c>
      <c r="T9">
        <f t="shared" si="2"/>
        <v>2.4010163031971206</v>
      </c>
      <c r="V9">
        <v>1.4</v>
      </c>
      <c r="W9">
        <f t="shared" si="3"/>
        <v>0.25213999999999998</v>
      </c>
      <c r="X9">
        <f t="shared" si="4"/>
        <v>1.9599999999999999E-3</v>
      </c>
      <c r="Y9">
        <f t="shared" si="5"/>
        <v>0.77734591893392568</v>
      </c>
    </row>
    <row r="10" spans="1:30" x14ac:dyDescent="0.35">
      <c r="A10">
        <v>1.5582100000000001</v>
      </c>
      <c r="B10">
        <v>0.43778</v>
      </c>
      <c r="C10">
        <v>0.27632000000000001</v>
      </c>
      <c r="D10">
        <v>6.9800000000000001E-3</v>
      </c>
      <c r="E10">
        <v>1.8E-3</v>
      </c>
      <c r="F10">
        <v>2.2899999999999999E-3</v>
      </c>
      <c r="G10">
        <v>3.5593400000000002</v>
      </c>
      <c r="H10">
        <v>0.63117999999999996</v>
      </c>
      <c r="I10">
        <v>5.6392499999999997</v>
      </c>
      <c r="L10">
        <v>0.43778</v>
      </c>
      <c r="M10">
        <v>0.27632000000000001</v>
      </c>
      <c r="N10">
        <v>1.5582100000000001</v>
      </c>
      <c r="Q10">
        <v>1.6</v>
      </c>
      <c r="R10">
        <f t="shared" si="0"/>
        <v>0.75568000000000002</v>
      </c>
      <c r="S10">
        <f t="shared" si="1"/>
        <v>2.0736000000000004E-2</v>
      </c>
      <c r="T10">
        <f t="shared" si="2"/>
        <v>2.7440186322252811</v>
      </c>
      <c r="V10">
        <v>1.6</v>
      </c>
      <c r="W10">
        <f t="shared" si="3"/>
        <v>0.28816000000000003</v>
      </c>
      <c r="X10">
        <f t="shared" si="4"/>
        <v>2.5600000000000006E-3</v>
      </c>
      <c r="Y10">
        <f t="shared" si="5"/>
        <v>0.8883953359244865</v>
      </c>
    </row>
    <row r="11" spans="1:30" ht="15.75" customHeight="1" x14ac:dyDescent="0.35">
      <c r="A11">
        <v>1.97349</v>
      </c>
      <c r="B11">
        <v>0.55401</v>
      </c>
      <c r="C11">
        <v>0.35006999999999999</v>
      </c>
      <c r="D11">
        <v>4.8799999999999998E-3</v>
      </c>
      <c r="E11">
        <v>1.1999999999999999E-3</v>
      </c>
      <c r="F11">
        <v>2.2300000000000002E-3</v>
      </c>
      <c r="G11">
        <v>3.5621999999999998</v>
      </c>
      <c r="H11">
        <v>0.63188999999999995</v>
      </c>
      <c r="I11">
        <v>5.6374599999999999</v>
      </c>
      <c r="L11">
        <v>0.55401</v>
      </c>
      <c r="M11">
        <v>0.35006999999999999</v>
      </c>
      <c r="N11">
        <v>1.97349</v>
      </c>
      <c r="Q11">
        <v>1.8</v>
      </c>
      <c r="R11">
        <f t="shared" si="0"/>
        <v>0.85014000000000001</v>
      </c>
      <c r="S11">
        <f t="shared" si="1"/>
        <v>2.6244E-2</v>
      </c>
      <c r="T11">
        <f t="shared" si="2"/>
        <v>3.0870209612534403</v>
      </c>
      <c r="V11">
        <v>1.8</v>
      </c>
      <c r="W11">
        <f t="shared" si="3"/>
        <v>0.32418000000000002</v>
      </c>
      <c r="X11">
        <f t="shared" si="4"/>
        <v>3.2400000000000003E-3</v>
      </c>
      <c r="Y11">
        <f t="shared" si="5"/>
        <v>0.9994447529150472</v>
      </c>
    </row>
    <row r="12" spans="1:30" x14ac:dyDescent="0.35">
      <c r="A12">
        <v>2.3239800000000002</v>
      </c>
      <c r="B12">
        <v>0.65125999999999995</v>
      </c>
      <c r="C12">
        <v>0.41243000000000002</v>
      </c>
      <c r="D12">
        <v>6.0800000000000003E-3</v>
      </c>
      <c r="E12">
        <v>1.5499999999999999E-3</v>
      </c>
      <c r="F12">
        <v>2.3600000000000001E-3</v>
      </c>
      <c r="G12">
        <v>3.56847</v>
      </c>
      <c r="H12">
        <v>0.63329000000000002</v>
      </c>
      <c r="I12">
        <v>5.63483</v>
      </c>
      <c r="L12">
        <v>0.65125999999999995</v>
      </c>
      <c r="M12">
        <v>0.41243000000000002</v>
      </c>
      <c r="N12">
        <v>2.3239800000000002</v>
      </c>
      <c r="Q12">
        <v>2</v>
      </c>
      <c r="R12">
        <f t="shared" si="0"/>
        <v>0.9446</v>
      </c>
      <c r="S12">
        <f t="shared" si="1"/>
        <v>3.2399999999999998E-2</v>
      </c>
      <c r="T12">
        <f t="shared" si="2"/>
        <v>3.4300232902816004</v>
      </c>
      <c r="V12">
        <v>2</v>
      </c>
      <c r="W12">
        <f t="shared" si="3"/>
        <v>0.36020000000000002</v>
      </c>
      <c r="X12">
        <f t="shared" si="4"/>
        <v>4.0000000000000001E-3</v>
      </c>
      <c r="Y12">
        <f t="shared" si="5"/>
        <v>1.1104941699056079</v>
      </c>
    </row>
    <row r="13" spans="1:30" x14ac:dyDescent="0.35">
      <c r="A13">
        <v>2.7796099999999999</v>
      </c>
      <c r="B13">
        <v>0.78022999999999998</v>
      </c>
      <c r="C13">
        <v>0.49276999999999999</v>
      </c>
      <c r="D13">
        <v>7.8799999999999999E-3</v>
      </c>
      <c r="E13">
        <v>1.99E-3</v>
      </c>
      <c r="F13">
        <v>2.5899999999999999E-3</v>
      </c>
      <c r="G13">
        <v>3.5625599999999999</v>
      </c>
      <c r="H13">
        <v>0.63156999999999996</v>
      </c>
      <c r="I13">
        <v>5.6408899999999997</v>
      </c>
      <c r="L13">
        <v>0.78022999999999998</v>
      </c>
      <c r="M13">
        <v>0.49276999999999999</v>
      </c>
      <c r="N13">
        <v>2.7796099999999999</v>
      </c>
      <c r="Q13">
        <v>2.2000000000000002</v>
      </c>
      <c r="R13">
        <f t="shared" si="0"/>
        <v>1.0390600000000001</v>
      </c>
      <c r="S13">
        <f t="shared" si="1"/>
        <v>3.9204000000000003E-2</v>
      </c>
      <c r="T13">
        <f t="shared" si="2"/>
        <v>3.7730256193097604</v>
      </c>
      <c r="V13">
        <v>2.2000000000000002</v>
      </c>
      <c r="W13">
        <f t="shared" si="3"/>
        <v>0.39622000000000007</v>
      </c>
      <c r="X13">
        <f t="shared" si="4"/>
        <v>4.8400000000000006E-3</v>
      </c>
      <c r="Y13">
        <f t="shared" si="5"/>
        <v>1.2215435868961688</v>
      </c>
    </row>
    <row r="14" spans="1:30" x14ac:dyDescent="0.35">
      <c r="A14">
        <v>3.2214499999999999</v>
      </c>
      <c r="B14">
        <v>0.90200999999999998</v>
      </c>
      <c r="C14">
        <v>0.57164000000000004</v>
      </c>
      <c r="D14">
        <v>5.47E-3</v>
      </c>
      <c r="E14">
        <v>1.4400000000000001E-3</v>
      </c>
      <c r="F14">
        <v>2.47E-3</v>
      </c>
      <c r="G14">
        <v>3.5714000000000001</v>
      </c>
      <c r="H14">
        <v>0.63373999999999997</v>
      </c>
      <c r="I14">
        <v>5.63544</v>
      </c>
      <c r="L14">
        <v>0.90200999999999998</v>
      </c>
      <c r="M14">
        <v>0.57164000000000004</v>
      </c>
      <c r="N14">
        <v>3.2214499999999999</v>
      </c>
      <c r="Q14">
        <v>2.4</v>
      </c>
      <c r="R14">
        <f t="shared" si="0"/>
        <v>1.1335199999999999</v>
      </c>
      <c r="S14">
        <f t="shared" si="1"/>
        <v>4.6655999999999996E-2</v>
      </c>
      <c r="T14">
        <f t="shared" si="2"/>
        <v>4.116027948337921</v>
      </c>
      <c r="V14">
        <v>2.4</v>
      </c>
      <c r="W14">
        <f t="shared" si="3"/>
        <v>0.43224000000000001</v>
      </c>
      <c r="X14">
        <f t="shared" si="4"/>
        <v>5.7599999999999995E-3</v>
      </c>
      <c r="Y14">
        <f t="shared" si="5"/>
        <v>1.3325930038867295</v>
      </c>
    </row>
    <row r="15" spans="1:30" x14ac:dyDescent="0.35">
      <c r="A15">
        <v>3.64446</v>
      </c>
      <c r="B15">
        <v>1.01953</v>
      </c>
      <c r="C15">
        <v>0.64744000000000002</v>
      </c>
      <c r="D15">
        <v>7.0699999999999999E-3</v>
      </c>
      <c r="E15">
        <v>1.99E-3</v>
      </c>
      <c r="F15">
        <v>2.5899999999999999E-3</v>
      </c>
      <c r="G15">
        <v>3.57464</v>
      </c>
      <c r="H15">
        <v>0.63504000000000005</v>
      </c>
      <c r="I15">
        <v>5.6290399999999998</v>
      </c>
      <c r="L15">
        <v>1.01953</v>
      </c>
      <c r="M15">
        <v>0.64744000000000002</v>
      </c>
      <c r="N15">
        <v>3.64446</v>
      </c>
      <c r="Q15">
        <v>2.6</v>
      </c>
      <c r="R15">
        <f t="shared" si="0"/>
        <v>1.2279800000000001</v>
      </c>
      <c r="S15">
        <f t="shared" si="1"/>
        <v>5.4755999999999999E-2</v>
      </c>
      <c r="T15">
        <f t="shared" si="2"/>
        <v>4.4590302773660806</v>
      </c>
      <c r="V15">
        <v>2.6</v>
      </c>
      <c r="W15">
        <f t="shared" si="3"/>
        <v>0.46826000000000007</v>
      </c>
      <c r="X15">
        <f t="shared" si="4"/>
        <v>6.7600000000000004E-3</v>
      </c>
      <c r="Y15">
        <f t="shared" si="5"/>
        <v>1.4436424208772902</v>
      </c>
    </row>
    <row r="16" spans="1:30" x14ac:dyDescent="0.35">
      <c r="A16">
        <v>5.0528399999999998</v>
      </c>
      <c r="B16">
        <v>1.4102300000000001</v>
      </c>
      <c r="C16">
        <v>0.89741000000000004</v>
      </c>
      <c r="D16">
        <v>7.62E-3</v>
      </c>
      <c r="E16">
        <v>1.6999999999999999E-3</v>
      </c>
      <c r="F16">
        <v>3.3999999999999998E-3</v>
      </c>
      <c r="G16">
        <v>3.5829900000000001</v>
      </c>
      <c r="H16">
        <v>0.63636000000000004</v>
      </c>
      <c r="I16">
        <v>5.6304999999999996</v>
      </c>
      <c r="L16">
        <v>1.4102300000000001</v>
      </c>
      <c r="M16">
        <v>0.89741000000000004</v>
      </c>
      <c r="N16">
        <v>5.0528399999999998</v>
      </c>
      <c r="Q16">
        <v>2.8</v>
      </c>
      <c r="R16">
        <f t="shared" si="0"/>
        <v>1.3224399999999998</v>
      </c>
      <c r="S16">
        <f t="shared" si="1"/>
        <v>6.3503999999999991E-2</v>
      </c>
      <c r="T16">
        <f t="shared" si="2"/>
        <v>4.8020326063942411</v>
      </c>
      <c r="V16">
        <v>2.8</v>
      </c>
      <c r="W16">
        <f t="shared" si="3"/>
        <v>0.50427999999999995</v>
      </c>
      <c r="X16">
        <f t="shared" si="4"/>
        <v>7.8399999999999997E-3</v>
      </c>
      <c r="Y16">
        <f t="shared" si="5"/>
        <v>1.5546918378678514</v>
      </c>
    </row>
    <row r="17" spans="1:25" x14ac:dyDescent="0.35">
      <c r="A17">
        <v>6.3029700000000002</v>
      </c>
      <c r="B17">
        <v>1.7698100000000001</v>
      </c>
      <c r="C17">
        <v>1.1171899999999999</v>
      </c>
      <c r="D17">
        <v>6.8500000000000002E-3</v>
      </c>
      <c r="E17">
        <v>1.7700000000000001E-3</v>
      </c>
      <c r="F17">
        <v>2.7499999999999998E-3</v>
      </c>
      <c r="G17">
        <v>3.5613800000000002</v>
      </c>
      <c r="H17">
        <v>0.63124999999999998</v>
      </c>
      <c r="I17">
        <v>5.6417999999999999</v>
      </c>
      <c r="L17">
        <v>1.7698100000000001</v>
      </c>
      <c r="M17">
        <v>1.1171899999999999</v>
      </c>
      <c r="N17">
        <v>6.3029700000000002</v>
      </c>
      <c r="Q17">
        <v>3</v>
      </c>
      <c r="R17">
        <f t="shared" si="0"/>
        <v>1.4169</v>
      </c>
      <c r="S17">
        <f t="shared" si="1"/>
        <v>7.2899999999999993E-2</v>
      </c>
      <c r="T17">
        <f t="shared" si="2"/>
        <v>5.1450349354224008</v>
      </c>
      <c r="V17">
        <v>3</v>
      </c>
      <c r="W17">
        <f t="shared" si="3"/>
        <v>0.5403</v>
      </c>
      <c r="X17">
        <f t="shared" si="4"/>
        <v>9.0000000000000011E-3</v>
      </c>
      <c r="Y17">
        <f t="shared" si="5"/>
        <v>1.6657412548584123</v>
      </c>
    </row>
    <row r="18" spans="1:25" x14ac:dyDescent="0.35">
      <c r="Q18">
        <v>3.2</v>
      </c>
      <c r="R18">
        <f t="shared" si="0"/>
        <v>1.51136</v>
      </c>
      <c r="S18">
        <f t="shared" si="1"/>
        <v>8.2944000000000018E-2</v>
      </c>
      <c r="T18">
        <f t="shared" si="2"/>
        <v>5.4880372644505622</v>
      </c>
      <c r="V18">
        <v>3.2</v>
      </c>
      <c r="W18">
        <f t="shared" si="3"/>
        <v>0.57632000000000005</v>
      </c>
      <c r="X18">
        <f t="shared" si="4"/>
        <v>1.0240000000000003E-2</v>
      </c>
      <c r="Y18">
        <f t="shared" si="5"/>
        <v>1.776790671848973</v>
      </c>
    </row>
    <row r="19" spans="1:25" x14ac:dyDescent="0.35">
      <c r="A19" t="s">
        <v>8</v>
      </c>
      <c r="B19" t="s">
        <v>9</v>
      </c>
      <c r="C19" t="s">
        <v>10</v>
      </c>
      <c r="Q19">
        <v>3.4</v>
      </c>
      <c r="R19">
        <f t="shared" si="0"/>
        <v>1.60582</v>
      </c>
      <c r="S19">
        <f t="shared" si="1"/>
        <v>9.3635999999999983E-2</v>
      </c>
      <c r="T19">
        <f t="shared" si="2"/>
        <v>5.83103959347872</v>
      </c>
      <c r="V19">
        <v>3.4</v>
      </c>
      <c r="W19">
        <f t="shared" si="3"/>
        <v>0.61234</v>
      </c>
      <c r="X19">
        <f t="shared" si="4"/>
        <v>1.1559999999999999E-2</v>
      </c>
      <c r="Y19">
        <f t="shared" si="5"/>
        <v>1.8878400888395332</v>
      </c>
    </row>
    <row r="20" spans="1:25" x14ac:dyDescent="0.35">
      <c r="F20">
        <v>8.5299999999999994E-3</v>
      </c>
      <c r="G20">
        <v>5.3899999999999998E-3</v>
      </c>
      <c r="H20">
        <v>3.083E-2</v>
      </c>
      <c r="L20">
        <v>5.3899999999999998E-3</v>
      </c>
      <c r="M20">
        <v>3.083E-2</v>
      </c>
      <c r="N20">
        <v>8.5299999999999994E-3</v>
      </c>
      <c r="Q20">
        <v>3.6</v>
      </c>
      <c r="R20">
        <f t="shared" si="0"/>
        <v>1.70028</v>
      </c>
      <c r="S20">
        <f t="shared" si="1"/>
        <v>0.104976</v>
      </c>
      <c r="T20">
        <f t="shared" si="2"/>
        <v>6.1740419225068806</v>
      </c>
      <c r="V20">
        <v>3.6</v>
      </c>
      <c r="W20">
        <f t="shared" si="3"/>
        <v>0.64836000000000005</v>
      </c>
      <c r="X20">
        <f t="shared" si="4"/>
        <v>1.2960000000000001E-2</v>
      </c>
      <c r="Y20">
        <f t="shared" si="5"/>
        <v>1.9988895058300944</v>
      </c>
    </row>
    <row r="21" spans="1:25" x14ac:dyDescent="0.35">
      <c r="F21">
        <v>2.1899999999999999E-2</v>
      </c>
      <c r="G21">
        <v>1.3780000000000001E-2</v>
      </c>
      <c r="H21">
        <v>7.7640000000000001E-2</v>
      </c>
      <c r="L21">
        <v>1.3780000000000001E-2</v>
      </c>
      <c r="M21">
        <v>7.7640000000000001E-2</v>
      </c>
      <c r="N21">
        <v>2.1899999999999999E-2</v>
      </c>
      <c r="Q21">
        <v>3.8</v>
      </c>
      <c r="R21">
        <f t="shared" si="0"/>
        <v>1.79474</v>
      </c>
      <c r="S21">
        <f t="shared" si="1"/>
        <v>0.11696399999999998</v>
      </c>
      <c r="T21">
        <f t="shared" si="2"/>
        <v>6.5170442515350411</v>
      </c>
      <c r="V21">
        <v>3.8</v>
      </c>
      <c r="W21">
        <f t="shared" si="3"/>
        <v>0.68437999999999999</v>
      </c>
      <c r="X21">
        <f t="shared" si="4"/>
        <v>1.444E-2</v>
      </c>
      <c r="Y21">
        <f t="shared" si="5"/>
        <v>2.1099389228206551</v>
      </c>
    </row>
    <row r="22" spans="1:25" x14ac:dyDescent="0.35">
      <c r="F22">
        <v>3.8289999999999998E-2</v>
      </c>
      <c r="G22">
        <v>2.4060000000000002E-2</v>
      </c>
      <c r="H22">
        <v>0.13632</v>
      </c>
      <c r="L22">
        <v>2.4060000000000002E-2</v>
      </c>
      <c r="M22">
        <v>0.13632</v>
      </c>
      <c r="N22">
        <v>3.8289999999999998E-2</v>
      </c>
      <c r="Q22">
        <v>4</v>
      </c>
      <c r="R22">
        <f t="shared" si="0"/>
        <v>1.8892</v>
      </c>
      <c r="S22">
        <f t="shared" si="1"/>
        <v>0.12959999999999999</v>
      </c>
      <c r="T22">
        <f t="shared" si="2"/>
        <v>6.8600465805632007</v>
      </c>
      <c r="V22">
        <v>4</v>
      </c>
      <c r="W22">
        <f t="shared" si="3"/>
        <v>0.72040000000000004</v>
      </c>
      <c r="X22">
        <f t="shared" si="4"/>
        <v>1.6E-2</v>
      </c>
      <c r="Y22">
        <f t="shared" si="5"/>
        <v>2.2209883398112158</v>
      </c>
    </row>
    <row r="23" spans="1:25" x14ac:dyDescent="0.35">
      <c r="F23">
        <v>5.5710000000000003E-2</v>
      </c>
      <c r="G23">
        <v>3.4849999999999999E-2</v>
      </c>
      <c r="H23">
        <v>0.19761999999999999</v>
      </c>
      <c r="L23">
        <v>3.4849999999999999E-2</v>
      </c>
      <c r="M23">
        <v>0.19761999999999999</v>
      </c>
      <c r="N23">
        <v>5.5710000000000003E-2</v>
      </c>
      <c r="Q23">
        <v>4.2</v>
      </c>
      <c r="R23">
        <f t="shared" si="0"/>
        <v>1.98366</v>
      </c>
      <c r="S23">
        <f t="shared" si="1"/>
        <v>0.14288399999999998</v>
      </c>
      <c r="T23">
        <f t="shared" si="2"/>
        <v>7.2030489095913612</v>
      </c>
      <c r="V23">
        <v>4.2</v>
      </c>
      <c r="W23">
        <f t="shared" si="3"/>
        <v>0.75642000000000009</v>
      </c>
      <c r="X23">
        <f t="shared" si="4"/>
        <v>1.7639999999999999E-2</v>
      </c>
      <c r="Y23">
        <f t="shared" si="5"/>
        <v>2.3320377568017765</v>
      </c>
    </row>
    <row r="24" spans="1:25" x14ac:dyDescent="0.35">
      <c r="F24">
        <v>7.4749999999999997E-2</v>
      </c>
      <c r="G24">
        <v>4.6489999999999997E-2</v>
      </c>
      <c r="H24">
        <v>0.26369999999999999</v>
      </c>
      <c r="L24">
        <v>4.6489999999999997E-2</v>
      </c>
      <c r="M24">
        <v>0.26369999999999999</v>
      </c>
      <c r="N24">
        <v>7.4749999999999997E-2</v>
      </c>
      <c r="Q24">
        <v>4.4000000000000004</v>
      </c>
      <c r="R24">
        <f t="shared" si="0"/>
        <v>2.0781200000000002</v>
      </c>
      <c r="S24">
        <f t="shared" si="1"/>
        <v>0.15681600000000001</v>
      </c>
      <c r="T24">
        <f t="shared" si="2"/>
        <v>7.5460512386195209</v>
      </c>
      <c r="V24">
        <v>4.4000000000000004</v>
      </c>
      <c r="W24">
        <f t="shared" si="3"/>
        <v>0.79244000000000014</v>
      </c>
      <c r="X24">
        <f t="shared" si="4"/>
        <v>1.9360000000000002E-2</v>
      </c>
      <c r="Y24">
        <f t="shared" si="5"/>
        <v>2.4430871737923376</v>
      </c>
    </row>
    <row r="25" spans="1:25" x14ac:dyDescent="0.35">
      <c r="F25">
        <v>0.11071</v>
      </c>
      <c r="G25">
        <v>6.8760000000000002E-2</v>
      </c>
      <c r="H25">
        <v>0.38929000000000002</v>
      </c>
      <c r="L25">
        <v>6.8760000000000002E-2</v>
      </c>
      <c r="M25">
        <v>0.38929000000000002</v>
      </c>
      <c r="N25">
        <v>0.11071</v>
      </c>
      <c r="Q25">
        <v>4.5999999999999996</v>
      </c>
      <c r="R25">
        <f t="shared" si="0"/>
        <v>2.17258</v>
      </c>
      <c r="S25">
        <f t="shared" si="1"/>
        <v>0.17139599999999997</v>
      </c>
      <c r="T25">
        <f t="shared" si="2"/>
        <v>7.8890535676476805</v>
      </c>
      <c r="V25">
        <v>4.5999999999999996</v>
      </c>
      <c r="W25">
        <f t="shared" si="3"/>
        <v>0.82845999999999997</v>
      </c>
      <c r="X25">
        <f t="shared" si="4"/>
        <v>2.1159999999999998E-2</v>
      </c>
      <c r="Y25">
        <f t="shared" si="5"/>
        <v>2.5541365907828983</v>
      </c>
    </row>
    <row r="26" spans="1:25" x14ac:dyDescent="0.35">
      <c r="F26">
        <v>0.16789999999999999</v>
      </c>
      <c r="G26">
        <v>0.10406</v>
      </c>
      <c r="H26">
        <v>0.59011000000000002</v>
      </c>
      <c r="L26">
        <v>0.10406</v>
      </c>
      <c r="M26">
        <v>0.59011000000000002</v>
      </c>
      <c r="N26">
        <v>0.16789999999999999</v>
      </c>
      <c r="Q26">
        <v>4.8</v>
      </c>
      <c r="R26">
        <f t="shared" si="0"/>
        <v>2.2670399999999997</v>
      </c>
      <c r="S26">
        <f t="shared" si="1"/>
        <v>0.18662399999999998</v>
      </c>
      <c r="T26">
        <f t="shared" si="2"/>
        <v>8.2320558966758419</v>
      </c>
      <c r="V26">
        <v>4.8</v>
      </c>
      <c r="W26">
        <f t="shared" si="3"/>
        <v>0.86448000000000003</v>
      </c>
      <c r="X26">
        <f t="shared" si="4"/>
        <v>2.3039999999999998E-2</v>
      </c>
      <c r="Y26">
        <f t="shared" si="5"/>
        <v>2.665186007773459</v>
      </c>
    </row>
    <row r="27" spans="1:25" x14ac:dyDescent="0.35">
      <c r="F27">
        <v>0.23072000000000001</v>
      </c>
      <c r="G27">
        <v>0.14448</v>
      </c>
      <c r="H27">
        <v>0.81655999999999995</v>
      </c>
      <c r="L27">
        <v>0.14448</v>
      </c>
      <c r="M27">
        <v>0.81655999999999995</v>
      </c>
      <c r="N27">
        <v>0.23072000000000001</v>
      </c>
      <c r="Q27">
        <v>5</v>
      </c>
      <c r="R27">
        <f t="shared" si="0"/>
        <v>2.3614999999999999</v>
      </c>
      <c r="S27">
        <f t="shared" si="1"/>
        <v>0.20249999999999999</v>
      </c>
      <c r="T27">
        <f t="shared" si="2"/>
        <v>8.5750582257040016</v>
      </c>
      <c r="V27">
        <v>5</v>
      </c>
      <c r="W27">
        <f t="shared" si="3"/>
        <v>0.90050000000000008</v>
      </c>
      <c r="X27">
        <f t="shared" si="4"/>
        <v>2.5000000000000001E-2</v>
      </c>
      <c r="Y27">
        <f t="shared" si="5"/>
        <v>2.7762354247640197</v>
      </c>
    </row>
    <row r="28" spans="1:25" x14ac:dyDescent="0.35">
      <c r="F28">
        <v>0.31335000000000002</v>
      </c>
      <c r="G28">
        <v>0.19666</v>
      </c>
      <c r="H28">
        <v>1.10968</v>
      </c>
      <c r="L28">
        <v>0.19666</v>
      </c>
      <c r="M28">
        <v>1.10968</v>
      </c>
      <c r="N28">
        <v>0.31335000000000002</v>
      </c>
      <c r="Q28">
        <v>5.2</v>
      </c>
      <c r="R28">
        <f t="shared" si="0"/>
        <v>2.4559600000000001</v>
      </c>
      <c r="S28">
        <f t="shared" si="1"/>
        <v>0.219024</v>
      </c>
      <c r="T28">
        <f t="shared" si="2"/>
        <v>8.9180605547321612</v>
      </c>
      <c r="V28">
        <v>5.2</v>
      </c>
      <c r="W28">
        <f t="shared" si="3"/>
        <v>0.93652000000000013</v>
      </c>
      <c r="X28">
        <f t="shared" si="4"/>
        <v>2.7040000000000002E-2</v>
      </c>
      <c r="Y28">
        <f t="shared" si="5"/>
        <v>2.8872848417545804</v>
      </c>
    </row>
    <row r="29" spans="1:25" x14ac:dyDescent="0.35">
      <c r="F29">
        <v>0.43778</v>
      </c>
      <c r="G29">
        <v>0.27632000000000001</v>
      </c>
      <c r="H29">
        <v>1.5582100000000001</v>
      </c>
      <c r="L29">
        <v>0.27632000000000001</v>
      </c>
      <c r="M29">
        <v>1.5582100000000001</v>
      </c>
      <c r="N29">
        <v>0.43778</v>
      </c>
      <c r="Q29">
        <v>5.4</v>
      </c>
      <c r="R29">
        <f t="shared" si="0"/>
        <v>2.5504200000000004</v>
      </c>
      <c r="S29">
        <f t="shared" si="1"/>
        <v>0.23619600000000002</v>
      </c>
      <c r="T29">
        <f t="shared" si="2"/>
        <v>9.2610628837603208</v>
      </c>
      <c r="V29">
        <v>5.4</v>
      </c>
      <c r="W29">
        <f t="shared" si="3"/>
        <v>0.97254000000000007</v>
      </c>
      <c r="X29">
        <f t="shared" si="4"/>
        <v>2.9160000000000005E-2</v>
      </c>
      <c r="Y29">
        <f t="shared" si="5"/>
        <v>2.998334258745142</v>
      </c>
    </row>
    <row r="30" spans="1:25" x14ac:dyDescent="0.35">
      <c r="F30">
        <v>0.55401</v>
      </c>
      <c r="G30">
        <v>0.35006999999999999</v>
      </c>
      <c r="H30">
        <v>1.97349</v>
      </c>
      <c r="L30">
        <v>0.35006999999999999</v>
      </c>
      <c r="M30">
        <v>1.97349</v>
      </c>
      <c r="N30">
        <v>0.55401</v>
      </c>
      <c r="Q30">
        <v>5.6</v>
      </c>
      <c r="R30">
        <f t="shared" si="0"/>
        <v>2.6448799999999997</v>
      </c>
      <c r="S30">
        <f t="shared" si="1"/>
        <v>0.25401599999999996</v>
      </c>
      <c r="T30">
        <f t="shared" si="2"/>
        <v>9.6040652127884822</v>
      </c>
      <c r="V30">
        <v>5.6</v>
      </c>
      <c r="W30">
        <f t="shared" si="3"/>
        <v>1.0085599999999999</v>
      </c>
      <c r="X30">
        <f t="shared" si="4"/>
        <v>3.1359999999999999E-2</v>
      </c>
      <c r="Y30">
        <f t="shared" si="5"/>
        <v>3.1093836757357027</v>
      </c>
    </row>
    <row r="31" spans="1:25" x14ac:dyDescent="0.35">
      <c r="F31">
        <v>0.65125999999999995</v>
      </c>
      <c r="G31">
        <v>0.41243000000000002</v>
      </c>
      <c r="H31">
        <v>2.3239800000000002</v>
      </c>
      <c r="L31">
        <v>0.41243000000000002</v>
      </c>
      <c r="M31">
        <v>2.3239800000000002</v>
      </c>
      <c r="N31">
        <v>0.65125999999999995</v>
      </c>
      <c r="Q31">
        <v>5.8</v>
      </c>
      <c r="R31">
        <f t="shared" si="0"/>
        <v>2.7393399999999999</v>
      </c>
      <c r="S31">
        <f t="shared" si="1"/>
        <v>0.272484</v>
      </c>
      <c r="T31">
        <f t="shared" si="2"/>
        <v>9.9470675418166419</v>
      </c>
      <c r="V31">
        <v>5.8</v>
      </c>
      <c r="W31">
        <f t="shared" si="3"/>
        <v>1.0445800000000001</v>
      </c>
      <c r="X31">
        <f t="shared" si="4"/>
        <v>3.3640000000000003E-2</v>
      </c>
      <c r="Y31">
        <f t="shared" si="5"/>
        <v>3.220433092726263</v>
      </c>
    </row>
    <row r="32" spans="1:25" x14ac:dyDescent="0.35">
      <c r="F32">
        <v>0.78022999999999998</v>
      </c>
      <c r="G32">
        <v>0.49276999999999999</v>
      </c>
      <c r="H32">
        <v>2.7796099999999999</v>
      </c>
      <c r="L32">
        <v>0.49276999999999999</v>
      </c>
      <c r="M32">
        <v>2.7796099999999999</v>
      </c>
      <c r="N32">
        <v>0.78022999999999998</v>
      </c>
      <c r="Q32">
        <v>6</v>
      </c>
      <c r="R32">
        <f t="shared" si="0"/>
        <v>2.8338000000000001</v>
      </c>
      <c r="S32">
        <f t="shared" si="1"/>
        <v>0.29159999999999997</v>
      </c>
      <c r="T32">
        <f t="shared" si="2"/>
        <v>10.290069870844802</v>
      </c>
      <c r="V32">
        <v>6</v>
      </c>
      <c r="W32">
        <f t="shared" si="3"/>
        <v>1.0806</v>
      </c>
      <c r="X32">
        <f t="shared" si="4"/>
        <v>3.6000000000000004E-2</v>
      </c>
      <c r="Y32">
        <f t="shared" si="5"/>
        <v>3.3314825097168246</v>
      </c>
    </row>
    <row r="33" spans="6:25" x14ac:dyDescent="0.35">
      <c r="F33">
        <v>0.90200999999999998</v>
      </c>
      <c r="G33">
        <v>0.57164000000000004</v>
      </c>
      <c r="H33">
        <v>3.2214499999999999</v>
      </c>
      <c r="L33">
        <v>0.57164000000000004</v>
      </c>
      <c r="M33">
        <v>3.2214499999999999</v>
      </c>
      <c r="N33">
        <v>0.90200999999999998</v>
      </c>
      <c r="Q33">
        <v>6.2</v>
      </c>
      <c r="R33">
        <f t="shared" si="0"/>
        <v>2.9282599999999999</v>
      </c>
      <c r="S33">
        <f t="shared" si="1"/>
        <v>0.31136400000000003</v>
      </c>
      <c r="T33">
        <f t="shared" si="2"/>
        <v>10.633072199872963</v>
      </c>
      <c r="V33">
        <v>6.2</v>
      </c>
      <c r="W33">
        <f t="shared" si="3"/>
        <v>1.1166200000000002</v>
      </c>
      <c r="X33">
        <f t="shared" si="4"/>
        <v>3.8440000000000009E-2</v>
      </c>
      <c r="Y33">
        <f t="shared" si="5"/>
        <v>3.4425319267073853</v>
      </c>
    </row>
    <row r="34" spans="6:25" x14ac:dyDescent="0.35">
      <c r="F34">
        <v>1.01953</v>
      </c>
      <c r="G34">
        <v>0.64744000000000002</v>
      </c>
      <c r="H34">
        <v>3.64446</v>
      </c>
      <c r="L34">
        <v>0.64744000000000002</v>
      </c>
      <c r="M34">
        <v>3.64446</v>
      </c>
      <c r="N34">
        <v>1.01953</v>
      </c>
      <c r="Q34">
        <v>6.4</v>
      </c>
      <c r="R34">
        <f t="shared" si="0"/>
        <v>3.0227200000000001</v>
      </c>
      <c r="S34">
        <f t="shared" si="1"/>
        <v>0.33177600000000007</v>
      </c>
      <c r="T34">
        <f t="shared" si="2"/>
        <v>10.976074528901124</v>
      </c>
      <c r="V34">
        <v>6.4</v>
      </c>
      <c r="W34">
        <f t="shared" si="3"/>
        <v>1.1526400000000001</v>
      </c>
      <c r="X34">
        <f t="shared" si="4"/>
        <v>4.096000000000001E-2</v>
      </c>
      <c r="Y34">
        <f t="shared" si="5"/>
        <v>3.553581343697946</v>
      </c>
    </row>
    <row r="35" spans="6:25" x14ac:dyDescent="0.35">
      <c r="F35">
        <v>1.4102300000000001</v>
      </c>
      <c r="G35">
        <v>0.89741000000000004</v>
      </c>
      <c r="H35">
        <v>5.0528399999999998</v>
      </c>
      <c r="L35">
        <v>0.89741000000000004</v>
      </c>
      <c r="M35">
        <v>5.0528399999999998</v>
      </c>
      <c r="N35">
        <v>1.4102300000000001</v>
      </c>
      <c r="Q35">
        <v>6.6</v>
      </c>
      <c r="R35">
        <f t="shared" si="0"/>
        <v>3.1171799999999998</v>
      </c>
      <c r="S35">
        <f t="shared" si="1"/>
        <v>0.35283599999999993</v>
      </c>
      <c r="T35">
        <f t="shared" si="2"/>
        <v>11.31907685792928</v>
      </c>
      <c r="V35">
        <v>6.6</v>
      </c>
      <c r="W35">
        <f t="shared" si="3"/>
        <v>1.18866</v>
      </c>
      <c r="X35">
        <f t="shared" si="4"/>
        <v>4.3559999999999995E-2</v>
      </c>
      <c r="Y35">
        <f t="shared" si="5"/>
        <v>3.6646307606885058</v>
      </c>
    </row>
    <row r="36" spans="6:25" x14ac:dyDescent="0.35">
      <c r="F36">
        <v>1.7698100000000001</v>
      </c>
      <c r="G36">
        <v>1.1171899999999999</v>
      </c>
      <c r="H36">
        <v>6.3029700000000002</v>
      </c>
      <c r="L36">
        <v>1.1171899999999999</v>
      </c>
      <c r="M36">
        <v>6.3029700000000002</v>
      </c>
      <c r="N36">
        <v>1.7698100000000001</v>
      </c>
    </row>
    <row r="39" spans="6:25" x14ac:dyDescent="0.35">
      <c r="K39" t="s">
        <v>12</v>
      </c>
      <c r="L39">
        <v>3.083E-2</v>
      </c>
      <c r="M39">
        <v>8.5299999999999994E-3</v>
      </c>
      <c r="N39">
        <v>5.3899999999999998E-3</v>
      </c>
    </row>
    <row r="40" spans="6:25" x14ac:dyDescent="0.35">
      <c r="L40">
        <v>7.7640000000000001E-2</v>
      </c>
      <c r="M40">
        <v>2.1899999999999999E-2</v>
      </c>
      <c r="N40">
        <v>1.3780000000000001E-2</v>
      </c>
    </row>
    <row r="41" spans="6:25" x14ac:dyDescent="0.35">
      <c r="L41">
        <v>0.13632</v>
      </c>
      <c r="M41">
        <v>3.8289999999999998E-2</v>
      </c>
      <c r="N41">
        <v>2.4060000000000002E-2</v>
      </c>
    </row>
    <row r="42" spans="6:25" x14ac:dyDescent="0.35">
      <c r="L42">
        <v>0.19761999999999999</v>
      </c>
      <c r="M42">
        <v>5.5710000000000003E-2</v>
      </c>
      <c r="N42">
        <v>3.4849999999999999E-2</v>
      </c>
    </row>
    <row r="43" spans="6:25" x14ac:dyDescent="0.35">
      <c r="L43">
        <v>0.26369999999999999</v>
      </c>
      <c r="M43">
        <v>7.4749999999999997E-2</v>
      </c>
      <c r="N43">
        <v>4.6489999999999997E-2</v>
      </c>
    </row>
    <row r="44" spans="6:25" x14ac:dyDescent="0.35">
      <c r="L44">
        <v>0.38929000000000002</v>
      </c>
      <c r="M44">
        <v>0.11071</v>
      </c>
      <c r="N44">
        <v>6.8760000000000002E-2</v>
      </c>
    </row>
    <row r="45" spans="6:25" x14ac:dyDescent="0.35">
      <c r="L45">
        <v>0.59011000000000002</v>
      </c>
      <c r="M45">
        <v>0.16789999999999999</v>
      </c>
      <c r="N45">
        <v>0.10406</v>
      </c>
    </row>
    <row r="46" spans="6:25" x14ac:dyDescent="0.35">
      <c r="L46">
        <v>0.81655999999999995</v>
      </c>
      <c r="M46">
        <v>0.23072000000000001</v>
      </c>
      <c r="N46">
        <v>0.14448</v>
      </c>
    </row>
    <row r="47" spans="6:25" x14ac:dyDescent="0.35">
      <c r="L47">
        <v>1.10968</v>
      </c>
      <c r="M47">
        <v>0.31335000000000002</v>
      </c>
      <c r="N47">
        <v>0.19666</v>
      </c>
    </row>
    <row r="48" spans="6:25" x14ac:dyDescent="0.35">
      <c r="L48">
        <v>1.5582100000000001</v>
      </c>
      <c r="M48">
        <v>0.43778</v>
      </c>
      <c r="N48">
        <v>0.27632000000000001</v>
      </c>
    </row>
    <row r="49" spans="12:14" x14ac:dyDescent="0.35">
      <c r="L49">
        <v>1.97349</v>
      </c>
      <c r="M49">
        <v>0.55401</v>
      </c>
      <c r="N49">
        <v>0.35006999999999999</v>
      </c>
    </row>
    <row r="50" spans="12:14" x14ac:dyDescent="0.35">
      <c r="L50">
        <v>2.3239800000000002</v>
      </c>
      <c r="M50">
        <v>0.65125999999999995</v>
      </c>
      <c r="N50">
        <v>0.41243000000000002</v>
      </c>
    </row>
    <row r="51" spans="12:14" x14ac:dyDescent="0.35">
      <c r="L51">
        <v>2.7796099999999999</v>
      </c>
      <c r="M51">
        <v>0.78022999999999998</v>
      </c>
      <c r="N51">
        <v>0.49276999999999999</v>
      </c>
    </row>
    <row r="52" spans="12:14" x14ac:dyDescent="0.35">
      <c r="L52">
        <v>3.2214499999999999</v>
      </c>
      <c r="M52">
        <v>0.90200999999999998</v>
      </c>
      <c r="N52">
        <v>0.57164000000000004</v>
      </c>
    </row>
    <row r="53" spans="12:14" x14ac:dyDescent="0.35">
      <c r="L53">
        <v>3.64446</v>
      </c>
      <c r="M53">
        <v>1.01953</v>
      </c>
      <c r="N53">
        <v>0.64744000000000002</v>
      </c>
    </row>
    <row r="54" spans="12:14" x14ac:dyDescent="0.35">
      <c r="L54">
        <v>5.0528399999999998</v>
      </c>
      <c r="M54">
        <v>1.4102300000000001</v>
      </c>
      <c r="N54">
        <v>0.89741000000000004</v>
      </c>
    </row>
    <row r="55" spans="12:14" x14ac:dyDescent="0.35">
      <c r="L55">
        <v>6.3029700000000002</v>
      </c>
      <c r="M55">
        <v>1.7698100000000001</v>
      </c>
      <c r="N55">
        <v>1.1171899999999999</v>
      </c>
    </row>
    <row r="56" spans="12:14" x14ac:dyDescent="0.35">
      <c r="M56" t="s">
        <v>13</v>
      </c>
      <c r="N56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7CAF-1DF3-4C7F-9C00-960D72354AD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PulledDat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2026-09-16T19:01:19Z</dcterms:created>
  <dcterms:modified xsi:type="dcterms:W3CDTF">2026-09-23T01:39:31Z</dcterms:modified>
</cp:coreProperties>
</file>