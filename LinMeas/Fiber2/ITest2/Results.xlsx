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LinMeas\Fiber2\Intentsity test\"/>
    </mc:Choice>
  </mc:AlternateContent>
  <xr:revisionPtr revIDLastSave="0" documentId="13_ncr:1_{8D15545E-46C8-4A86-B8E2-493B6942092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temp" sheetId="2" r:id="rId2"/>
  </sheets>
  <definedNames>
    <definedName name="_xlchart.v1.0" hidden="1">Sheet1!$B$3:$B$12</definedName>
    <definedName name="_xlchart.v1.1" hidden="1">Sheet1!$C$3:$C$12</definedName>
    <definedName name="_xlchart.v1.2" hidden="1">Sheet1!$E$3:$E$11</definedName>
    <definedName name="_xlchart.v1.3" hidden="1">Sheet1!$F$3:$F$11</definedName>
    <definedName name="_xlchart.v1.4" hidden="1">Sheet1!$H$3:$H$13</definedName>
    <definedName name="_xlchart.v1.5" hidden="1">Sheet1!$I$3:$I$13</definedName>
    <definedName name="_xlchart.v1.6" hidden="1">Sheet1!$L$3:$L$5</definedName>
    <definedName name="_xlchart.v1.7" hidden="1">Sheet1!$M$3:$M$5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6" i="1" l="1"/>
  <c r="R6" i="1"/>
  <c r="P4" i="1"/>
  <c r="P5" i="1"/>
  <c r="P3" i="1"/>
  <c r="O5" i="1"/>
  <c r="O4" i="1"/>
  <c r="O3" i="1"/>
  <c r="N5" i="1"/>
  <c r="N4" i="1"/>
  <c r="N3" i="1"/>
  <c r="L5" i="1"/>
  <c r="L4" i="1"/>
  <c r="L3" i="1"/>
  <c r="M3" i="1"/>
  <c r="M5" i="1"/>
  <c r="M4" i="1"/>
</calcChain>
</file>

<file path=xl/sharedStrings.xml><?xml version="1.0" encoding="utf-8"?>
<sst xmlns="http://schemas.openxmlformats.org/spreadsheetml/2006/main" count="9" uniqueCount="5">
  <si>
    <t>Low</t>
  </si>
  <si>
    <t>High</t>
  </si>
  <si>
    <t>Med</t>
  </si>
  <si>
    <t>Alpha</t>
  </si>
  <si>
    <t>P0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</si>
</sst>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Sheet1!$A$3:$A$13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xVal>
          <c:yVal>
            <c:numRef>
              <c:f>Sheet1!$C$3:$C$12</c:f>
              <c:numCache>
                <c:formatCode>General</c:formatCode>
                <c:ptCount val="10"/>
                <c:pt idx="0">
                  <c:v>4.7712876792141902E-2</c:v>
                </c:pt>
                <c:pt idx="1">
                  <c:v>4.8164394607539802E-2</c:v>
                </c:pt>
                <c:pt idx="2">
                  <c:v>4.6841778247040701E-2</c:v>
                </c:pt>
                <c:pt idx="3">
                  <c:v>4.7930772270805097E-2</c:v>
                </c:pt>
                <c:pt idx="4">
                  <c:v>4.7916464907701899E-2</c:v>
                </c:pt>
                <c:pt idx="5">
                  <c:v>4.8260922216410498E-2</c:v>
                </c:pt>
                <c:pt idx="6">
                  <c:v>4.78940969094463E-2</c:v>
                </c:pt>
                <c:pt idx="7">
                  <c:v>4.8596600010608303E-2</c:v>
                </c:pt>
                <c:pt idx="8">
                  <c:v>4.8529352775302501E-2</c:v>
                </c:pt>
                <c:pt idx="9">
                  <c:v>4.7865665132403999E-2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94-4DDB-A0CA-3103CBE78B12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Sheet1!$A$3:$A$13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xVal>
          <c:yVal>
            <c:numRef>
              <c:f>Sheet1!$F$3:$F$11</c:f>
              <c:numCache>
                <c:formatCode>General</c:formatCode>
                <c:ptCount val="9"/>
                <c:pt idx="0">
                  <c:v>4.64988576797742E-2</c:v>
                </c:pt>
                <c:pt idx="1">
                  <c:v>4.6994016686578502E-2</c:v>
                </c:pt>
                <c:pt idx="2">
                  <c:v>4.6706160693399598E-2</c:v>
                </c:pt>
                <c:pt idx="3">
                  <c:v>4.7411507849964798E-2</c:v>
                </c:pt>
                <c:pt idx="4">
                  <c:v>4.7895126407649001E-2</c:v>
                </c:pt>
                <c:pt idx="5">
                  <c:v>4.7913746274083902E-2</c:v>
                </c:pt>
                <c:pt idx="6">
                  <c:v>4.7278928857606699E-2</c:v>
                </c:pt>
                <c:pt idx="7">
                  <c:v>4.8060993633046702E-2</c:v>
                </c:pt>
                <c:pt idx="8">
                  <c:v>4.7564085785623399E-2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94-4DDB-A0CA-3103CBE78B12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Sheet1!$A$3:$A$13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xVal>
          <c:yVal>
            <c:numRef>
              <c:f>Sheet1!$I$3:$I$13</c:f>
              <c:numCache>
                <c:formatCode>General</c:formatCode>
                <c:ptCount val="11"/>
                <c:pt idx="0">
                  <c:v>4.7594086855872998E-2</c:v>
                </c:pt>
                <c:pt idx="1">
                  <c:v>4.7865832680007402E-2</c:v>
                </c:pt>
                <c:pt idx="2">
                  <c:v>4.7946198533546001E-2</c:v>
                </c:pt>
                <c:pt idx="3">
                  <c:v>4.7958321334516898E-2</c:v>
                </c:pt>
                <c:pt idx="4">
                  <c:v>4.7745472800668702E-2</c:v>
                </c:pt>
                <c:pt idx="5">
                  <c:v>4.7683759372150601E-2</c:v>
                </c:pt>
                <c:pt idx="6">
                  <c:v>4.79771761493403E-2</c:v>
                </c:pt>
                <c:pt idx="7">
                  <c:v>4.7459600367847798E-2</c:v>
                </c:pt>
                <c:pt idx="8">
                  <c:v>4.7677254085627299E-2</c:v>
                </c:pt>
                <c:pt idx="9">
                  <c:v>4.79891735986843E-2</c:v>
                </c:pt>
                <c:pt idx="10">
                  <c:v>4.7740785482986298E-2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94-4DDB-A0CA-3103CBE78B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8166543"/>
        <c:axId val="1108161135"/>
      </c:scatterChart>
      <c:valAx>
        <c:axId val="11081665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161135"/>
        <c:crosses val="autoZero"/>
        <c:crossBetween val="midCat"/>
      </c:valAx>
      <c:valAx>
        <c:axId val="110816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1665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I1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Sheet1!$B$3:$B$12</c:f>
              <c:numCache>
                <c:formatCode>General</c:formatCode>
                <c:ptCount val="10"/>
                <c:pt idx="0">
                  <c:v>0.14650866185077294</c:v>
                </c:pt>
                <c:pt idx="1">
                  <c:v>0.14650866185077294</c:v>
                </c:pt>
                <c:pt idx="2">
                  <c:v>0.14650866185077294</c:v>
                </c:pt>
                <c:pt idx="3">
                  <c:v>0.14650866185077294</c:v>
                </c:pt>
                <c:pt idx="4">
                  <c:v>0.14650866185077294</c:v>
                </c:pt>
                <c:pt idx="5">
                  <c:v>0.14650866185077294</c:v>
                </c:pt>
                <c:pt idx="6">
                  <c:v>0.14650866185077294</c:v>
                </c:pt>
                <c:pt idx="7">
                  <c:v>0.14650866185077294</c:v>
                </c:pt>
                <c:pt idx="8">
                  <c:v>0.14650866185077294</c:v>
                </c:pt>
                <c:pt idx="9">
                  <c:v>0.14650866185077294</c:v>
                </c:pt>
              </c:numCache>
            </c:numRef>
          </c:xVal>
          <c:yVal>
            <c:numRef>
              <c:f>Sheet1!$C$3:$C$12</c:f>
              <c:numCache>
                <c:formatCode>General</c:formatCode>
                <c:ptCount val="10"/>
                <c:pt idx="0">
                  <c:v>4.7712876792141902E-2</c:v>
                </c:pt>
                <c:pt idx="1">
                  <c:v>4.8164394607539802E-2</c:v>
                </c:pt>
                <c:pt idx="2">
                  <c:v>4.6841778247040701E-2</c:v>
                </c:pt>
                <c:pt idx="3">
                  <c:v>4.7930772270805097E-2</c:v>
                </c:pt>
                <c:pt idx="4">
                  <c:v>4.7916464907701899E-2</c:v>
                </c:pt>
                <c:pt idx="5">
                  <c:v>4.8260922216410498E-2</c:v>
                </c:pt>
                <c:pt idx="6">
                  <c:v>4.78940969094463E-2</c:v>
                </c:pt>
                <c:pt idx="7">
                  <c:v>4.8596600010608303E-2</c:v>
                </c:pt>
                <c:pt idx="8">
                  <c:v>4.8529352775302501E-2</c:v>
                </c:pt>
                <c:pt idx="9">
                  <c:v>4.7865665132403999E-2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0FD-43F2-930D-F3361A973FCC}"/>
            </c:ext>
          </c:extLst>
        </c:ser>
        <c:ser>
          <c:idx val="1"/>
          <c:order val="1"/>
          <c:tx>
            <c:v>I2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Sheet1!$E$3:$E$11</c:f>
              <c:numCache>
                <c:formatCode>General</c:formatCode>
                <c:ptCount val="9"/>
                <c:pt idx="0">
                  <c:v>0.38314167044465475</c:v>
                </c:pt>
                <c:pt idx="1">
                  <c:v>0.38314167044465475</c:v>
                </c:pt>
                <c:pt idx="2">
                  <c:v>0.38314167044465475</c:v>
                </c:pt>
                <c:pt idx="3">
                  <c:v>0.38314167044465475</c:v>
                </c:pt>
                <c:pt idx="4">
                  <c:v>0.38314167044465475</c:v>
                </c:pt>
                <c:pt idx="5">
                  <c:v>0.38314167044465475</c:v>
                </c:pt>
                <c:pt idx="6">
                  <c:v>0.38314167044465475</c:v>
                </c:pt>
                <c:pt idx="7">
                  <c:v>0.38314167044465475</c:v>
                </c:pt>
                <c:pt idx="8">
                  <c:v>0.38314167044465475</c:v>
                </c:pt>
              </c:numCache>
            </c:numRef>
          </c:xVal>
          <c:yVal>
            <c:numRef>
              <c:f>Sheet1!$F$3:$F$11</c:f>
              <c:numCache>
                <c:formatCode>General</c:formatCode>
                <c:ptCount val="9"/>
                <c:pt idx="0">
                  <c:v>4.64988576797742E-2</c:v>
                </c:pt>
                <c:pt idx="1">
                  <c:v>4.6994016686578502E-2</c:v>
                </c:pt>
                <c:pt idx="2">
                  <c:v>4.6706160693399598E-2</c:v>
                </c:pt>
                <c:pt idx="3">
                  <c:v>4.7411507849964798E-2</c:v>
                </c:pt>
                <c:pt idx="4">
                  <c:v>4.7895126407649001E-2</c:v>
                </c:pt>
                <c:pt idx="5">
                  <c:v>4.7913746274083902E-2</c:v>
                </c:pt>
                <c:pt idx="6">
                  <c:v>4.7278928857606699E-2</c:v>
                </c:pt>
                <c:pt idx="7">
                  <c:v>4.8060993633046702E-2</c:v>
                </c:pt>
                <c:pt idx="8">
                  <c:v>4.7564085785623399E-2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0FD-43F2-930D-F3361A973FCC}"/>
            </c:ext>
          </c:extLst>
        </c:ser>
        <c:ser>
          <c:idx val="2"/>
          <c:order val="2"/>
          <c:tx>
            <c:v>I3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Sheet1!$H$3:$H$13</c:f>
              <c:numCache>
                <c:formatCode>General</c:formatCode>
                <c:ptCount val="11"/>
                <c:pt idx="0">
                  <c:v>1.0142937182713132</c:v>
                </c:pt>
                <c:pt idx="1">
                  <c:v>1.0142937182713132</c:v>
                </c:pt>
                <c:pt idx="2">
                  <c:v>1.0142937182713132</c:v>
                </c:pt>
                <c:pt idx="3">
                  <c:v>1.0142937182713132</c:v>
                </c:pt>
                <c:pt idx="4">
                  <c:v>1.0142937182713132</c:v>
                </c:pt>
                <c:pt idx="5">
                  <c:v>1.0142937182713132</c:v>
                </c:pt>
                <c:pt idx="6">
                  <c:v>1.0142937182713132</c:v>
                </c:pt>
                <c:pt idx="7">
                  <c:v>1.0142937182713132</c:v>
                </c:pt>
                <c:pt idx="8">
                  <c:v>1.0142937182713132</c:v>
                </c:pt>
                <c:pt idx="9">
                  <c:v>1.0142937182713132</c:v>
                </c:pt>
                <c:pt idx="10">
                  <c:v>1.0142937182713132</c:v>
                </c:pt>
              </c:numCache>
            </c:numRef>
          </c:xVal>
          <c:yVal>
            <c:numRef>
              <c:f>Sheet1!$I$3:$I$13</c:f>
              <c:numCache>
                <c:formatCode>General</c:formatCode>
                <c:ptCount val="11"/>
                <c:pt idx="0">
                  <c:v>4.7594086855872998E-2</c:v>
                </c:pt>
                <c:pt idx="1">
                  <c:v>4.7865832680007402E-2</c:v>
                </c:pt>
                <c:pt idx="2">
                  <c:v>4.7946198533546001E-2</c:v>
                </c:pt>
                <c:pt idx="3">
                  <c:v>4.7958321334516898E-2</c:v>
                </c:pt>
                <c:pt idx="4">
                  <c:v>4.7745472800668702E-2</c:v>
                </c:pt>
                <c:pt idx="5">
                  <c:v>4.7683759372150601E-2</c:v>
                </c:pt>
                <c:pt idx="6">
                  <c:v>4.79771761493403E-2</c:v>
                </c:pt>
                <c:pt idx="7">
                  <c:v>4.7459600367847798E-2</c:v>
                </c:pt>
                <c:pt idx="8">
                  <c:v>4.7677254085627299E-2</c:v>
                </c:pt>
                <c:pt idx="9">
                  <c:v>4.79891735986843E-2</c:v>
                </c:pt>
                <c:pt idx="10">
                  <c:v>4.7740785482986298E-2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0FD-43F2-930D-F3361A973FCC}"/>
            </c:ext>
          </c:extLst>
        </c:ser>
        <c:ser>
          <c:idx val="3"/>
          <c:order val="3"/>
          <c:tx>
            <c:v>averages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Sheet1!$L$3:$L$5</c:f>
              <c:numCache>
                <c:formatCode>General</c:formatCode>
                <c:ptCount val="3"/>
                <c:pt idx="0">
                  <c:v>0.19650866185077293</c:v>
                </c:pt>
                <c:pt idx="1">
                  <c:v>0.43314167044465474</c:v>
                </c:pt>
                <c:pt idx="2">
                  <c:v>1.0642937182713132</c:v>
                </c:pt>
              </c:numCache>
            </c:numRef>
          </c:xVal>
          <c:yVal>
            <c:numRef>
              <c:f>Sheet1!$M$3:$M$5</c:f>
              <c:numCache>
                <c:formatCode>General</c:formatCode>
                <c:ptCount val="3"/>
                <c:pt idx="0">
                  <c:v>4.7971292386940097E-2</c:v>
                </c:pt>
                <c:pt idx="1">
                  <c:v>4.736926931863631E-2</c:v>
                </c:pt>
                <c:pt idx="2">
                  <c:v>4.7785241932840776E-2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0FD-43F2-930D-F3361A973F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3420479"/>
        <c:axId val="1021602303"/>
      </c:scatterChart>
      <c:valAx>
        <c:axId val="1223420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602303"/>
        <c:crosses val="autoZero"/>
        <c:crossBetween val="midCat"/>
      </c:valAx>
      <c:valAx>
        <c:axId val="1021602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420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2.4262248468941382E-2"/>
                  <c:y val="-0.410237314085739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Sheet1!$L$3:$L$5</c:f>
              <c:numCache>
                <c:formatCode>General</c:formatCode>
                <c:ptCount val="3"/>
                <c:pt idx="0">
                  <c:v>0.19650866185077293</c:v>
                </c:pt>
                <c:pt idx="1">
                  <c:v>0.43314167044465474</c:v>
                </c:pt>
                <c:pt idx="2">
                  <c:v>1.0642937182713132</c:v>
                </c:pt>
              </c:numCache>
            </c:numRef>
          </c:xVal>
          <c:yVal>
            <c:numRef>
              <c:f>Sheet1!$M$3:$M$5</c:f>
              <c:numCache>
                <c:formatCode>General</c:formatCode>
                <c:ptCount val="3"/>
                <c:pt idx="0">
                  <c:v>4.7971292386940097E-2</c:v>
                </c:pt>
                <c:pt idx="1">
                  <c:v>4.736926931863631E-2</c:v>
                </c:pt>
                <c:pt idx="2">
                  <c:v>4.7785241932840776E-2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B8-4D09-B872-CCE903113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335631"/>
        <c:axId val="1462336047"/>
      </c:scatterChart>
      <c:valAx>
        <c:axId val="14623356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2336047"/>
        <c:crosses val="autoZero"/>
        <c:crossBetween val="midCat"/>
      </c:valAx>
      <c:valAx>
        <c:axId val="146233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2335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0937642169728784"/>
                  <c:y val="-0.3856568970545348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Sheet1!$S$9:$S$38</c:f>
              <c:numCache>
                <c:formatCode>General</c:formatCode>
                <c:ptCount val="30"/>
                <c:pt idx="0">
                  <c:v>0.14650866185077294</c:v>
                </c:pt>
                <c:pt idx="1">
                  <c:v>0.14650866185077294</c:v>
                </c:pt>
                <c:pt idx="2">
                  <c:v>0.14650866185077294</c:v>
                </c:pt>
                <c:pt idx="3">
                  <c:v>0.14650866185077294</c:v>
                </c:pt>
                <c:pt idx="4">
                  <c:v>0.14650866185077294</c:v>
                </c:pt>
                <c:pt idx="5">
                  <c:v>0.14650866185077294</c:v>
                </c:pt>
                <c:pt idx="6">
                  <c:v>0.14650866185077294</c:v>
                </c:pt>
                <c:pt idx="7">
                  <c:v>0.14650866185077294</c:v>
                </c:pt>
                <c:pt idx="8">
                  <c:v>0.14650866185077294</c:v>
                </c:pt>
                <c:pt idx="9">
                  <c:v>0.14650866185077294</c:v>
                </c:pt>
                <c:pt idx="10">
                  <c:v>0.38314167044465475</c:v>
                </c:pt>
                <c:pt idx="11">
                  <c:v>0.38314167044465475</c:v>
                </c:pt>
                <c:pt idx="12">
                  <c:v>0.38314167044465475</c:v>
                </c:pt>
                <c:pt idx="13">
                  <c:v>0.38314167044465475</c:v>
                </c:pt>
                <c:pt idx="14">
                  <c:v>0.38314167044465475</c:v>
                </c:pt>
                <c:pt idx="15">
                  <c:v>0.38314167044465475</c:v>
                </c:pt>
                <c:pt idx="16">
                  <c:v>0.38314167044465475</c:v>
                </c:pt>
                <c:pt idx="17">
                  <c:v>0.38314167044465475</c:v>
                </c:pt>
                <c:pt idx="18">
                  <c:v>0.38314167044465475</c:v>
                </c:pt>
                <c:pt idx="19">
                  <c:v>1.0142937182713132</c:v>
                </c:pt>
                <c:pt idx="20">
                  <c:v>1.0142937182713132</c:v>
                </c:pt>
                <c:pt idx="21">
                  <c:v>1.0142937182713132</c:v>
                </c:pt>
                <c:pt idx="22">
                  <c:v>1.0142937182713132</c:v>
                </c:pt>
                <c:pt idx="23">
                  <c:v>1.0142937182713132</c:v>
                </c:pt>
                <c:pt idx="24">
                  <c:v>1.0142937182713132</c:v>
                </c:pt>
                <c:pt idx="25">
                  <c:v>1.0142937182713132</c:v>
                </c:pt>
                <c:pt idx="26">
                  <c:v>1.0142937182713132</c:v>
                </c:pt>
                <c:pt idx="27">
                  <c:v>1.0142937182713132</c:v>
                </c:pt>
                <c:pt idx="28">
                  <c:v>1.0142937182713132</c:v>
                </c:pt>
                <c:pt idx="29">
                  <c:v>1.0142937182713132</c:v>
                </c:pt>
              </c:numCache>
            </c:numRef>
          </c:xVal>
          <c:yVal>
            <c:numRef>
              <c:f>Sheet1!$T$9:$T$38</c:f>
              <c:numCache>
                <c:formatCode>General</c:formatCode>
                <c:ptCount val="30"/>
                <c:pt idx="0">
                  <c:v>4.7712876792141902E-2</c:v>
                </c:pt>
                <c:pt idx="1">
                  <c:v>4.8164394607539802E-2</c:v>
                </c:pt>
                <c:pt idx="2">
                  <c:v>4.6841778247040701E-2</c:v>
                </c:pt>
                <c:pt idx="3">
                  <c:v>4.7930772270805097E-2</c:v>
                </c:pt>
                <c:pt idx="4">
                  <c:v>4.7916464907701899E-2</c:v>
                </c:pt>
                <c:pt idx="5">
                  <c:v>4.8260922216410498E-2</c:v>
                </c:pt>
                <c:pt idx="6">
                  <c:v>4.78940969094463E-2</c:v>
                </c:pt>
                <c:pt idx="7">
                  <c:v>4.8596600010608303E-2</c:v>
                </c:pt>
                <c:pt idx="8">
                  <c:v>4.8529352775302501E-2</c:v>
                </c:pt>
                <c:pt idx="9">
                  <c:v>4.7865665132403999E-2</c:v>
                </c:pt>
                <c:pt idx="10">
                  <c:v>4.64988576797742E-2</c:v>
                </c:pt>
                <c:pt idx="11">
                  <c:v>4.6994016686578502E-2</c:v>
                </c:pt>
                <c:pt idx="12">
                  <c:v>4.6706160693399598E-2</c:v>
                </c:pt>
                <c:pt idx="13">
                  <c:v>4.7411507849964798E-2</c:v>
                </c:pt>
                <c:pt idx="14">
                  <c:v>4.7895126407649001E-2</c:v>
                </c:pt>
                <c:pt idx="15">
                  <c:v>4.7913746274083902E-2</c:v>
                </c:pt>
                <c:pt idx="16">
                  <c:v>4.7278928857606699E-2</c:v>
                </c:pt>
                <c:pt idx="17">
                  <c:v>4.8060993633046702E-2</c:v>
                </c:pt>
                <c:pt idx="18">
                  <c:v>4.7564085785623399E-2</c:v>
                </c:pt>
                <c:pt idx="19">
                  <c:v>4.7594086855872998E-2</c:v>
                </c:pt>
                <c:pt idx="20">
                  <c:v>4.7865832680007402E-2</c:v>
                </c:pt>
                <c:pt idx="21">
                  <c:v>4.7946198533546001E-2</c:v>
                </c:pt>
                <c:pt idx="22">
                  <c:v>4.7958321334516898E-2</c:v>
                </c:pt>
                <c:pt idx="23">
                  <c:v>4.7745472800668702E-2</c:v>
                </c:pt>
                <c:pt idx="24">
                  <c:v>4.7683759372150601E-2</c:v>
                </c:pt>
                <c:pt idx="25">
                  <c:v>4.79771761493403E-2</c:v>
                </c:pt>
                <c:pt idx="26">
                  <c:v>4.7459600367847798E-2</c:v>
                </c:pt>
                <c:pt idx="27">
                  <c:v>4.7677254085627299E-2</c:v>
                </c:pt>
                <c:pt idx="28">
                  <c:v>4.79891735986843E-2</c:v>
                </c:pt>
                <c:pt idx="29">
                  <c:v>4.7740785482986298E-2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CA-4A5B-B24E-259B03CAF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2837503"/>
        <c:axId val="1302835423"/>
      </c:scatterChart>
      <c:valAx>
        <c:axId val="1302837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2835423"/>
        <c:crosses val="autoZero"/>
        <c:crossBetween val="midCat"/>
      </c:valAx>
      <c:valAx>
        <c:axId val="130283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28375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16</xdr:row>
      <xdr:rowOff>152400</xdr:rowOff>
    </xdr:from>
    <xdr:to>
      <xdr:col>10</xdr:col>
      <xdr:colOff>533400</xdr:colOff>
      <xdr:row>35</xdr:row>
      <xdr:rowOff>9523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4ABE19-252B-4422-97A2-44EC6788A4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228599</xdr:colOff>
      <xdr:row>32</xdr:row>
      <xdr:rowOff>9525</xdr:rowOff>
    </xdr:from>
    <xdr:to>
      <xdr:col>15</xdr:col>
      <xdr:colOff>276225</xdr:colOff>
      <xdr:row>57</xdr:row>
      <xdr:rowOff>176212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CB8A8A9-2ECE-4860-9415-569B7A7338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571500</xdr:colOff>
      <xdr:row>5</xdr:row>
      <xdr:rowOff>123825</xdr:rowOff>
    </xdr:from>
    <xdr:to>
      <xdr:col>22</xdr:col>
      <xdr:colOff>390525</xdr:colOff>
      <xdr:row>23</xdr:row>
      <xdr:rowOff>185737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4D346F4-090B-461B-A898-FC15D98F9E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347662</xdr:colOff>
      <xdr:row>25</xdr:row>
      <xdr:rowOff>100012</xdr:rowOff>
    </xdr:from>
    <xdr:to>
      <xdr:col>24</xdr:col>
      <xdr:colOff>42862</xdr:colOff>
      <xdr:row>39</xdr:row>
      <xdr:rowOff>176212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280C365-241E-4B67-990C-9D96543C23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8"/>
  <sheetViews>
    <sheetView tabSelected="1" topLeftCell="B7" workbookViewId="0">
      <selection activeCell="R14" sqref="R14"/>
    </sheetView>
  </sheetViews>
  <sheetFormatPr defaultRowHeight="15" x14ac:dyDescent="0.25"/>
  <cols>
    <col min="15" max="15" width="14.7109375" customWidth="1"/>
  </cols>
  <sheetData>
    <row r="1" spans="1:20" x14ac:dyDescent="0.25">
      <c r="B1" t="s">
        <v>0</v>
      </c>
      <c r="E1" t="s">
        <v>2</v>
      </c>
      <c r="H1" t="s">
        <v>1</v>
      </c>
    </row>
    <row r="2" spans="1:20" x14ac:dyDescent="0.25">
      <c r="B2">
        <v>0.14650866185077294</v>
      </c>
      <c r="C2" s="1" t="s">
        <v>3</v>
      </c>
      <c r="D2" s="1" t="s">
        <v>4</v>
      </c>
      <c r="E2">
        <v>0.38314167044465475</v>
      </c>
      <c r="F2" s="1" t="s">
        <v>3</v>
      </c>
      <c r="G2" s="1" t="s">
        <v>4</v>
      </c>
      <c r="H2">
        <v>1.0142937182713132</v>
      </c>
      <c r="I2" s="1" t="s">
        <v>3</v>
      </c>
      <c r="J2" s="1" t="s">
        <v>4</v>
      </c>
    </row>
    <row r="3" spans="1:20" x14ac:dyDescent="0.25">
      <c r="A3">
        <v>1</v>
      </c>
      <c r="B3">
        <v>0.14650866185077294</v>
      </c>
      <c r="C3" s="1">
        <v>4.7712876792141902E-2</v>
      </c>
      <c r="D3" s="1">
        <v>3.5448009376697902</v>
      </c>
      <c r="E3">
        <v>0.38314167044465475</v>
      </c>
      <c r="F3" s="1">
        <v>4.64988576797742E-2</v>
      </c>
      <c r="G3" s="1">
        <v>3.5665516980494898</v>
      </c>
      <c r="H3">
        <v>1.0142937182713132</v>
      </c>
      <c r="I3" s="1">
        <v>4.7594086855872998E-2</v>
      </c>
      <c r="J3" s="1">
        <v>3.5961295088708498</v>
      </c>
      <c r="L3">
        <f>B2+0.05</f>
        <v>0.19650866185077293</v>
      </c>
      <c r="M3">
        <f>AVERAGE(C3:C13)</f>
        <v>4.7971292386940097E-2</v>
      </c>
      <c r="N3">
        <f>_xlfn.STDEV.S(C3:C12)</f>
        <v>4.9305847408479984E-4</v>
      </c>
      <c r="O3">
        <f>N3/SQRT(COUNT(C3:C12))</f>
        <v>1.5591877977550722E-4</v>
      </c>
      <c r="P3">
        <f>O3/M3</f>
        <v>3.250251807223672E-3</v>
      </c>
    </row>
    <row r="4" spans="1:20" x14ac:dyDescent="0.25">
      <c r="A4">
        <v>2</v>
      </c>
      <c r="B4">
        <v>0.14650866185077294</v>
      </c>
      <c r="C4" s="1">
        <v>4.8164394607539802E-2</v>
      </c>
      <c r="D4" s="1">
        <v>3.5357963224140998</v>
      </c>
      <c r="E4">
        <v>0.38314167044465475</v>
      </c>
      <c r="F4" s="1">
        <v>4.6994016686578502E-2</v>
      </c>
      <c r="G4" s="1">
        <v>3.5673410121687499</v>
      </c>
      <c r="H4">
        <v>1.0142937182713132</v>
      </c>
      <c r="I4" s="1">
        <v>4.7865832680007402E-2</v>
      </c>
      <c r="J4" s="1">
        <v>3.59249324983996</v>
      </c>
      <c r="L4">
        <f>E3+0.05</f>
        <v>0.43314167044465474</v>
      </c>
      <c r="M4">
        <f>AVERAGE(F3:F13)</f>
        <v>4.736926931863631E-2</v>
      </c>
      <c r="N4">
        <f>_xlfn.STDEV.S(F3:F12)</f>
        <v>5.5198576932045159E-4</v>
      </c>
      <c r="O4">
        <f>N4/SQRT(COUNT(F3:F12))</f>
        <v>1.8399525644015053E-4</v>
      </c>
      <c r="P4">
        <f t="shared" ref="P4:P5" si="0">O4/M4</f>
        <v>3.8842747436630184E-3</v>
      </c>
    </row>
    <row r="5" spans="1:20" x14ac:dyDescent="0.25">
      <c r="A5">
        <v>3</v>
      </c>
      <c r="B5">
        <v>0.14650866185077294</v>
      </c>
      <c r="C5" s="1">
        <v>4.6841778247040701E-2</v>
      </c>
      <c r="D5" s="1">
        <v>3.5418406755249698</v>
      </c>
      <c r="E5">
        <v>0.38314167044465475</v>
      </c>
      <c r="F5" s="1">
        <v>4.6706160693399598E-2</v>
      </c>
      <c r="G5" s="1">
        <v>3.5667619989188299</v>
      </c>
      <c r="H5">
        <v>1.0142937182713132</v>
      </c>
      <c r="I5" s="1">
        <v>4.7946198533546001E-2</v>
      </c>
      <c r="J5" s="1">
        <v>3.5944805290050401</v>
      </c>
      <c r="L5">
        <f>H3+0.05</f>
        <v>1.0642937182713132</v>
      </c>
      <c r="M5">
        <f>AVERAGE(I3:I13)</f>
        <v>4.7785241932840776E-2</v>
      </c>
      <c r="N5">
        <f>_xlfn.STDEV.S(I3:I13)</f>
        <v>1.757515235496052E-4</v>
      </c>
      <c r="O5">
        <f>N5/SQRT(COUNT(I3:I13))</f>
        <v>5.2991078177031954E-5</v>
      </c>
      <c r="P5">
        <f t="shared" si="0"/>
        <v>1.1089423435693318E-3</v>
      </c>
    </row>
    <row r="6" spans="1:20" x14ac:dyDescent="0.25">
      <c r="A6">
        <v>4</v>
      </c>
      <c r="B6">
        <v>0.14650866185077294</v>
      </c>
      <c r="C6" s="1">
        <v>4.7930772270805097E-2</v>
      </c>
      <c r="D6" s="1">
        <v>3.5417194207225</v>
      </c>
      <c r="E6">
        <v>0.38314167044465475</v>
      </c>
      <c r="F6" s="1">
        <v>4.7411507849964798E-2</v>
      </c>
      <c r="G6" s="1">
        <v>3.56094145962558</v>
      </c>
      <c r="H6">
        <v>1.0142937182713132</v>
      </c>
      <c r="I6" s="1">
        <v>4.7958321334516898E-2</v>
      </c>
      <c r="J6" s="1">
        <v>3.5940387704001302</v>
      </c>
      <c r="R6">
        <f>AVERAGE(M3:M5)</f>
        <v>4.7708601212805728E-2</v>
      </c>
      <c r="S6">
        <f>0.00003/R6</f>
        <v>6.2881742992598017E-4</v>
      </c>
    </row>
    <row r="7" spans="1:20" x14ac:dyDescent="0.25">
      <c r="A7">
        <v>5</v>
      </c>
      <c r="B7">
        <v>0.14650866185077294</v>
      </c>
      <c r="C7" s="1">
        <v>4.7916464907701899E-2</v>
      </c>
      <c r="D7" s="1">
        <v>3.5378767865990901</v>
      </c>
      <c r="E7">
        <v>0.38314167044465475</v>
      </c>
      <c r="F7" s="1">
        <v>4.7895126407649001E-2</v>
      </c>
      <c r="G7" s="1">
        <v>3.56206709895842</v>
      </c>
      <c r="H7">
        <v>1.0142937182713132</v>
      </c>
      <c r="I7" s="1">
        <v>4.7745472800668702E-2</v>
      </c>
      <c r="J7" s="1">
        <v>3.5936279138245402</v>
      </c>
    </row>
    <row r="8" spans="1:20" x14ac:dyDescent="0.25">
      <c r="A8">
        <v>6</v>
      </c>
      <c r="B8">
        <v>0.14650866185077294</v>
      </c>
      <c r="C8" s="1">
        <v>4.8260922216410498E-2</v>
      </c>
      <c r="D8" s="1">
        <v>3.5414868387468101</v>
      </c>
      <c r="E8">
        <v>0.38314167044465475</v>
      </c>
      <c r="F8" s="1">
        <v>4.7913746274083902E-2</v>
      </c>
      <c r="G8" s="1">
        <v>3.5623345096529202</v>
      </c>
      <c r="H8">
        <v>1.0142937182713132</v>
      </c>
      <c r="I8" s="1">
        <v>4.7683759372150601E-2</v>
      </c>
      <c r="J8" s="1">
        <v>3.5944944602968598</v>
      </c>
    </row>
    <row r="9" spans="1:20" x14ac:dyDescent="0.25">
      <c r="A9">
        <v>7</v>
      </c>
      <c r="B9">
        <v>0.14650866185077294</v>
      </c>
      <c r="C9" s="1">
        <v>4.78940969094463E-2</v>
      </c>
      <c r="D9" s="1">
        <v>3.5478707328833998</v>
      </c>
      <c r="E9">
        <v>0.38314167044465475</v>
      </c>
      <c r="F9" s="1">
        <v>4.7278928857606699E-2</v>
      </c>
      <c r="G9" s="1">
        <v>3.5657460976611</v>
      </c>
      <c r="H9">
        <v>1.0142937182713132</v>
      </c>
      <c r="I9" s="1">
        <v>4.79771761493403E-2</v>
      </c>
      <c r="J9" s="1">
        <v>3.5943638050046101</v>
      </c>
      <c r="S9">
        <v>0.14650866185077294</v>
      </c>
      <c r="T9" s="1">
        <v>4.7712876792141902E-2</v>
      </c>
    </row>
    <row r="10" spans="1:20" x14ac:dyDescent="0.25">
      <c r="A10">
        <v>8</v>
      </c>
      <c r="B10">
        <v>0.14650866185077294</v>
      </c>
      <c r="C10" s="1">
        <v>4.8596600010608303E-2</v>
      </c>
      <c r="D10" s="1">
        <v>3.5466910309338102</v>
      </c>
      <c r="E10">
        <v>0.38314167044465475</v>
      </c>
      <c r="F10" s="1">
        <v>4.8060993633046702E-2</v>
      </c>
      <c r="G10" s="1">
        <v>3.5668519079769898</v>
      </c>
      <c r="H10">
        <v>1.0142937182713132</v>
      </c>
      <c r="I10" s="1">
        <v>4.7459600367847798E-2</v>
      </c>
      <c r="J10" s="1">
        <v>3.59270769294542</v>
      </c>
      <c r="S10">
        <v>0.14650866185077294</v>
      </c>
      <c r="T10" s="1">
        <v>4.8164394607539802E-2</v>
      </c>
    </row>
    <row r="11" spans="1:20" x14ac:dyDescent="0.25">
      <c r="A11">
        <v>9</v>
      </c>
      <c r="B11">
        <v>0.14650866185077294</v>
      </c>
      <c r="C11" s="1">
        <v>4.8529352775302501E-2</v>
      </c>
      <c r="D11" s="1">
        <v>3.5437420973704699</v>
      </c>
      <c r="E11">
        <v>0.38314167044465475</v>
      </c>
      <c r="F11" s="1">
        <v>4.7564085785623399E-2</v>
      </c>
      <c r="G11" s="1">
        <v>3.56326684995501</v>
      </c>
      <c r="H11">
        <v>1.0142937182713132</v>
      </c>
      <c r="I11" s="1">
        <v>4.7677254085627299E-2</v>
      </c>
      <c r="J11" s="1">
        <v>3.5932752329519602</v>
      </c>
      <c r="S11">
        <v>0.14650866185077294</v>
      </c>
      <c r="T11" s="1">
        <v>4.6841778247040701E-2</v>
      </c>
    </row>
    <row r="12" spans="1:20" x14ac:dyDescent="0.25">
      <c r="A12">
        <v>10</v>
      </c>
      <c r="B12">
        <v>0.14650866185077294</v>
      </c>
      <c r="C12" s="1">
        <v>4.7865665132403999E-2</v>
      </c>
      <c r="D12" s="1">
        <v>3.54315176654312</v>
      </c>
      <c r="H12">
        <v>1.0142937182713132</v>
      </c>
      <c r="I12" s="1">
        <v>4.79891735986843E-2</v>
      </c>
      <c r="J12" s="1">
        <v>3.5930551102784101</v>
      </c>
      <c r="S12">
        <v>0.14650866185077294</v>
      </c>
      <c r="T12" s="1">
        <v>4.7930772270805097E-2</v>
      </c>
    </row>
    <row r="13" spans="1:20" x14ac:dyDescent="0.25">
      <c r="A13">
        <v>11</v>
      </c>
      <c r="H13">
        <v>1.0142937182713132</v>
      </c>
      <c r="I13" s="1">
        <v>4.7740785482986298E-2</v>
      </c>
      <c r="J13" s="1">
        <v>3.5923112607248799</v>
      </c>
      <c r="S13">
        <v>0.14650866185077294</v>
      </c>
      <c r="T13" s="1">
        <v>4.7916464907701899E-2</v>
      </c>
    </row>
    <row r="14" spans="1:20" x14ac:dyDescent="0.25">
      <c r="S14">
        <v>0.14650866185077294</v>
      </c>
      <c r="T14" s="1">
        <v>4.8260922216410498E-2</v>
      </c>
    </row>
    <row r="15" spans="1:20" x14ac:dyDescent="0.25">
      <c r="S15">
        <v>0.14650866185077294</v>
      </c>
      <c r="T15" s="1">
        <v>4.78940969094463E-2</v>
      </c>
    </row>
    <row r="16" spans="1:20" x14ac:dyDescent="0.25">
      <c r="S16">
        <v>0.14650866185077294</v>
      </c>
      <c r="T16" s="1">
        <v>4.8596600010608303E-2</v>
      </c>
    </row>
    <row r="17" spans="19:20" x14ac:dyDescent="0.25">
      <c r="S17">
        <v>0.14650866185077294</v>
      </c>
      <c r="T17" s="1">
        <v>4.8529352775302501E-2</v>
      </c>
    </row>
    <row r="18" spans="19:20" x14ac:dyDescent="0.25">
      <c r="S18">
        <v>0.14650866185077294</v>
      </c>
      <c r="T18" s="1">
        <v>4.7865665132403999E-2</v>
      </c>
    </row>
    <row r="19" spans="19:20" x14ac:dyDescent="0.25">
      <c r="S19">
        <v>0.38314167044465475</v>
      </c>
      <c r="T19" s="1">
        <v>4.64988576797742E-2</v>
      </c>
    </row>
    <row r="20" spans="19:20" x14ac:dyDescent="0.25">
      <c r="S20">
        <v>0.38314167044465475</v>
      </c>
      <c r="T20" s="1">
        <v>4.6994016686578502E-2</v>
      </c>
    </row>
    <row r="21" spans="19:20" x14ac:dyDescent="0.25">
      <c r="S21">
        <v>0.38314167044465475</v>
      </c>
      <c r="T21" s="1">
        <v>4.6706160693399598E-2</v>
      </c>
    </row>
    <row r="22" spans="19:20" x14ac:dyDescent="0.25">
      <c r="S22">
        <v>0.38314167044465475</v>
      </c>
      <c r="T22" s="1">
        <v>4.7411507849964798E-2</v>
      </c>
    </row>
    <row r="23" spans="19:20" x14ac:dyDescent="0.25">
      <c r="S23">
        <v>0.38314167044465475</v>
      </c>
      <c r="T23" s="1">
        <v>4.7895126407649001E-2</v>
      </c>
    </row>
    <row r="24" spans="19:20" x14ac:dyDescent="0.25">
      <c r="S24">
        <v>0.38314167044465475</v>
      </c>
      <c r="T24" s="1">
        <v>4.7913746274083902E-2</v>
      </c>
    </row>
    <row r="25" spans="19:20" x14ac:dyDescent="0.25">
      <c r="S25">
        <v>0.38314167044465475</v>
      </c>
      <c r="T25" s="1">
        <v>4.7278928857606699E-2</v>
      </c>
    </row>
    <row r="26" spans="19:20" x14ac:dyDescent="0.25">
      <c r="S26">
        <v>0.38314167044465475</v>
      </c>
      <c r="T26" s="1">
        <v>4.8060993633046702E-2</v>
      </c>
    </row>
    <row r="27" spans="19:20" x14ac:dyDescent="0.25">
      <c r="S27">
        <v>0.38314167044465475</v>
      </c>
      <c r="T27" s="1">
        <v>4.7564085785623399E-2</v>
      </c>
    </row>
    <row r="28" spans="19:20" x14ac:dyDescent="0.25">
      <c r="S28">
        <v>1.0142937182713132</v>
      </c>
      <c r="T28" s="1">
        <v>4.7594086855872998E-2</v>
      </c>
    </row>
    <row r="29" spans="19:20" x14ac:dyDescent="0.25">
      <c r="S29">
        <v>1.0142937182713132</v>
      </c>
      <c r="T29" s="1">
        <v>4.7865832680007402E-2</v>
      </c>
    </row>
    <row r="30" spans="19:20" x14ac:dyDescent="0.25">
      <c r="S30">
        <v>1.0142937182713132</v>
      </c>
      <c r="T30" s="1">
        <v>4.7946198533546001E-2</v>
      </c>
    </row>
    <row r="31" spans="19:20" x14ac:dyDescent="0.25">
      <c r="S31">
        <v>1.0142937182713132</v>
      </c>
      <c r="T31" s="1">
        <v>4.7958321334516898E-2</v>
      </c>
    </row>
    <row r="32" spans="19:20" x14ac:dyDescent="0.25">
      <c r="S32">
        <v>1.0142937182713132</v>
      </c>
      <c r="T32" s="1">
        <v>4.7745472800668702E-2</v>
      </c>
    </row>
    <row r="33" spans="19:20" x14ac:dyDescent="0.25">
      <c r="S33">
        <v>1.0142937182713132</v>
      </c>
      <c r="T33" s="1">
        <v>4.7683759372150601E-2</v>
      </c>
    </row>
    <row r="34" spans="19:20" x14ac:dyDescent="0.25">
      <c r="S34">
        <v>1.0142937182713132</v>
      </c>
      <c r="T34" s="1">
        <v>4.79771761493403E-2</v>
      </c>
    </row>
    <row r="35" spans="19:20" x14ac:dyDescent="0.25">
      <c r="S35">
        <v>1.0142937182713132</v>
      </c>
      <c r="T35" s="1">
        <v>4.7459600367847798E-2</v>
      </c>
    </row>
    <row r="36" spans="19:20" x14ac:dyDescent="0.25">
      <c r="S36">
        <v>1.0142937182713132</v>
      </c>
      <c r="T36" s="1">
        <v>4.7677254085627299E-2</v>
      </c>
    </row>
    <row r="37" spans="19:20" x14ac:dyDescent="0.25">
      <c r="S37">
        <v>1.0142937182713132</v>
      </c>
      <c r="T37" s="1">
        <v>4.79891735986843E-2</v>
      </c>
    </row>
    <row r="38" spans="19:20" x14ac:dyDescent="0.25">
      <c r="S38">
        <v>1.0142937182713132</v>
      </c>
      <c r="T38" s="1">
        <v>4.7740785482986298E-2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E44BB-97B2-4005-A11E-A7B4189340B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temp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Esteban Garcia</cp:lastModifiedBy>
  <dcterms:created xsi:type="dcterms:W3CDTF">2015-06-05T18:17:20Z</dcterms:created>
  <dcterms:modified xsi:type="dcterms:W3CDTF">2026-09-28T18:37:03Z</dcterms:modified>
</cp:coreProperties>
</file>