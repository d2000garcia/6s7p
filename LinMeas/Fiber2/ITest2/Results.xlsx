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LinMeas\Fiber2\ITest2\"/>
    </mc:Choice>
  </mc:AlternateContent>
  <xr:revisionPtr revIDLastSave="0" documentId="13_ncr:1_{CDE122DB-C2A0-4AFA-B6AF-383B910CE37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te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N5" i="1"/>
  <c r="O5" i="1" s="1"/>
  <c r="N4" i="1"/>
  <c r="O4" i="1" s="1"/>
  <c r="N3" i="1"/>
  <c r="O3" i="1" s="1"/>
  <c r="L5" i="1"/>
  <c r="L4" i="1"/>
  <c r="M5" i="1"/>
  <c r="M4" i="1"/>
  <c r="P4" i="1" l="1"/>
  <c r="P5" i="1"/>
  <c r="R6" i="1"/>
  <c r="S6" i="1" s="1"/>
  <c r="P3" i="1"/>
</calcChain>
</file>

<file path=xl/sharedStrings.xml><?xml version="1.0" encoding="utf-8"?>
<sst xmlns="http://schemas.openxmlformats.org/spreadsheetml/2006/main" count="15" uniqueCount="5">
  <si>
    <t>Low</t>
  </si>
  <si>
    <t>High</t>
  </si>
  <si>
    <t>Med</t>
  </si>
  <si>
    <t>Alpha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</si>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</sst>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0.13538022852761</c:v>
                </c:pt>
                <c:pt idx="1">
                  <c:v>0.13465177191208699</c:v>
                </c:pt>
                <c:pt idx="2">
                  <c:v>0.13481086685298899</c:v>
                </c:pt>
                <c:pt idx="3">
                  <c:v>0.13540718732719201</c:v>
                </c:pt>
                <c:pt idx="4">
                  <c:v>0.13459217279489799</c:v>
                </c:pt>
                <c:pt idx="5">
                  <c:v>0.134594471980475</c:v>
                </c:pt>
                <c:pt idx="6">
                  <c:v>0.13522025484822101</c:v>
                </c:pt>
                <c:pt idx="7">
                  <c:v>0.13586271616981099</c:v>
                </c:pt>
                <c:pt idx="8">
                  <c:v>0.135030590966186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4-4DDB-A0CA-3103CBE78B1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Sheet1!$F$3:$F$11</c:f>
              <c:numCache>
                <c:formatCode>General</c:formatCode>
                <c:ptCount val="9"/>
                <c:pt idx="0">
                  <c:v>0.13518210250875301</c:v>
                </c:pt>
                <c:pt idx="1">
                  <c:v>0.13518946121606501</c:v>
                </c:pt>
                <c:pt idx="2">
                  <c:v>0.136375992114487</c:v>
                </c:pt>
                <c:pt idx="3">
                  <c:v>0.13555559802936601</c:v>
                </c:pt>
                <c:pt idx="4">
                  <c:v>0.13620731346533299</c:v>
                </c:pt>
                <c:pt idx="5">
                  <c:v>0.13588543565528499</c:v>
                </c:pt>
                <c:pt idx="6">
                  <c:v>0.13482343117842499</c:v>
                </c:pt>
                <c:pt idx="7">
                  <c:v>0.136797430096464</c:v>
                </c:pt>
                <c:pt idx="8">
                  <c:v>0.136285928993195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94-4DDB-A0CA-3103CBE78B1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Sheet1!$I$3:$I$13</c:f>
              <c:numCache>
                <c:formatCode>General</c:formatCode>
                <c:ptCount val="11"/>
                <c:pt idx="0">
                  <c:v>0.13548958029595701</c:v>
                </c:pt>
                <c:pt idx="1">
                  <c:v>0.13535257602050901</c:v>
                </c:pt>
                <c:pt idx="2">
                  <c:v>0.13521437182562601</c:v>
                </c:pt>
                <c:pt idx="3">
                  <c:v>0.13547579777680199</c:v>
                </c:pt>
                <c:pt idx="4">
                  <c:v>0.135355456711137</c:v>
                </c:pt>
                <c:pt idx="5">
                  <c:v>0.13562845171119001</c:v>
                </c:pt>
                <c:pt idx="6">
                  <c:v>0.135063967225622</c:v>
                </c:pt>
                <c:pt idx="7">
                  <c:v>0.13488752919092301</c:v>
                </c:pt>
                <c:pt idx="8">
                  <c:v>0.13488940608340499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94-4DDB-A0CA-3103CBE78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166543"/>
        <c:axId val="1108161135"/>
      </c:scatterChart>
      <c:valAx>
        <c:axId val="110816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61135"/>
        <c:crosses val="autoZero"/>
        <c:crossBetween val="midCat"/>
      </c:valAx>
      <c:valAx>
        <c:axId val="11081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66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Sheet1!$B$3:$B$12</c:f>
              <c:numCache>
                <c:formatCode>General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0.13538022852761</c:v>
                </c:pt>
                <c:pt idx="1">
                  <c:v>0.13465177191208699</c:v>
                </c:pt>
                <c:pt idx="2">
                  <c:v>0.13481086685298899</c:v>
                </c:pt>
                <c:pt idx="3">
                  <c:v>0.13540718732719201</c:v>
                </c:pt>
                <c:pt idx="4">
                  <c:v>0.13459217279489799</c:v>
                </c:pt>
                <c:pt idx="5">
                  <c:v>0.134594471980475</c:v>
                </c:pt>
                <c:pt idx="6">
                  <c:v>0.13522025484822101</c:v>
                </c:pt>
                <c:pt idx="7">
                  <c:v>0.13586271616981099</c:v>
                </c:pt>
                <c:pt idx="8">
                  <c:v>0.135030590966186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D-43F2-930D-F3361A973FCC}"/>
            </c:ext>
          </c:extLst>
        </c:ser>
        <c:ser>
          <c:idx val="1"/>
          <c:order val="1"/>
          <c:tx>
            <c:v>I2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Sheet1!$E$3:$E$11</c:f>
              <c:numCache>
                <c:formatCode>General</c:formatCode>
                <c:ptCount val="9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0.43</c:v>
                </c:pt>
                <c:pt idx="4">
                  <c:v>0.43</c:v>
                </c:pt>
                <c:pt idx="5">
                  <c:v>0.43</c:v>
                </c:pt>
                <c:pt idx="6">
                  <c:v>0.43</c:v>
                </c:pt>
                <c:pt idx="7">
                  <c:v>0.43</c:v>
                </c:pt>
                <c:pt idx="8">
                  <c:v>0.43</c:v>
                </c:pt>
              </c:numCache>
            </c:numRef>
          </c:xVal>
          <c:yVal>
            <c:numRef>
              <c:f>Sheet1!$F$3:$F$11</c:f>
              <c:numCache>
                <c:formatCode>General</c:formatCode>
                <c:ptCount val="9"/>
                <c:pt idx="0">
                  <c:v>0.13518210250875301</c:v>
                </c:pt>
                <c:pt idx="1">
                  <c:v>0.13518946121606501</c:v>
                </c:pt>
                <c:pt idx="2">
                  <c:v>0.136375992114487</c:v>
                </c:pt>
                <c:pt idx="3">
                  <c:v>0.13555559802936601</c:v>
                </c:pt>
                <c:pt idx="4">
                  <c:v>0.13620731346533299</c:v>
                </c:pt>
                <c:pt idx="5">
                  <c:v>0.13588543565528499</c:v>
                </c:pt>
                <c:pt idx="6">
                  <c:v>0.13482343117842499</c:v>
                </c:pt>
                <c:pt idx="7">
                  <c:v>0.136797430096464</c:v>
                </c:pt>
                <c:pt idx="8">
                  <c:v>0.136285928993195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FD-43F2-930D-F3361A973FCC}"/>
            </c:ext>
          </c:extLst>
        </c:ser>
        <c:ser>
          <c:idx val="2"/>
          <c:order val="2"/>
          <c:tx>
            <c:v>I3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Sheet1!$H$3:$H$13</c:f>
              <c:numCache>
                <c:formatCode>General</c:formatCode>
                <c:ptCount val="11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</c:numCache>
            </c:numRef>
          </c:xVal>
          <c:yVal>
            <c:numRef>
              <c:f>Sheet1!$I$3:$I$13</c:f>
              <c:numCache>
                <c:formatCode>General</c:formatCode>
                <c:ptCount val="11"/>
                <c:pt idx="0">
                  <c:v>0.13548958029595701</c:v>
                </c:pt>
                <c:pt idx="1">
                  <c:v>0.13535257602050901</c:v>
                </c:pt>
                <c:pt idx="2">
                  <c:v>0.13521437182562601</c:v>
                </c:pt>
                <c:pt idx="3">
                  <c:v>0.13547579777680199</c:v>
                </c:pt>
                <c:pt idx="4">
                  <c:v>0.135355456711137</c:v>
                </c:pt>
                <c:pt idx="5">
                  <c:v>0.13562845171119001</c:v>
                </c:pt>
                <c:pt idx="6">
                  <c:v>0.135063967225622</c:v>
                </c:pt>
                <c:pt idx="7">
                  <c:v>0.13488752919092301</c:v>
                </c:pt>
                <c:pt idx="8">
                  <c:v>0.13488940608340499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FD-43F2-930D-F3361A973FCC}"/>
            </c:ext>
          </c:extLst>
        </c:ser>
        <c:ser>
          <c:idx val="3"/>
          <c:order val="3"/>
          <c:tx>
            <c:v>averages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Sheet1!$L$3:$L$5</c:f>
              <c:numCache>
                <c:formatCode>General</c:formatCode>
                <c:ptCount val="3"/>
                <c:pt idx="0">
                  <c:v>0.25</c:v>
                </c:pt>
                <c:pt idx="1">
                  <c:v>0.48</c:v>
                </c:pt>
                <c:pt idx="2">
                  <c:v>1.95</c:v>
                </c:pt>
              </c:numCache>
            </c:numRef>
          </c:xVal>
          <c:yVal>
            <c:numRef>
              <c:f>Sheet1!$M$3:$M$5</c:f>
              <c:numCache>
                <c:formatCode>General</c:formatCode>
                <c:ptCount val="3"/>
                <c:pt idx="0">
                  <c:v>0.13506114015327431</c:v>
                </c:pt>
                <c:pt idx="1">
                  <c:v>0.13581141036193034</c:v>
                </c:pt>
                <c:pt idx="2">
                  <c:v>0.13526190409346342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FD-43F2-930D-F3361A97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420479"/>
        <c:axId val="1021602303"/>
      </c:scatterChart>
      <c:valAx>
        <c:axId val="122342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02303"/>
        <c:crosses val="autoZero"/>
        <c:crossBetween val="midCat"/>
      </c:valAx>
      <c:valAx>
        <c:axId val="10216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2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262248468941382E-2"/>
                  <c:y val="-0.4102373140857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Sheet1!$L$3:$L$5</c:f>
              <c:numCache>
                <c:formatCode>General</c:formatCode>
                <c:ptCount val="3"/>
                <c:pt idx="0">
                  <c:v>0.25</c:v>
                </c:pt>
                <c:pt idx="1">
                  <c:v>0.48</c:v>
                </c:pt>
                <c:pt idx="2">
                  <c:v>1.95</c:v>
                </c:pt>
              </c:numCache>
            </c:numRef>
          </c:xVal>
          <c:yVal>
            <c:numRef>
              <c:f>Sheet1!$M$3:$M$5</c:f>
              <c:numCache>
                <c:formatCode>General</c:formatCode>
                <c:ptCount val="3"/>
                <c:pt idx="0">
                  <c:v>0.13506114015327431</c:v>
                </c:pt>
                <c:pt idx="1">
                  <c:v>0.13581141036193034</c:v>
                </c:pt>
                <c:pt idx="2">
                  <c:v>0.13526190409346342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8-4D09-B872-CCE90311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335631"/>
        <c:axId val="1462336047"/>
      </c:scatterChart>
      <c:valAx>
        <c:axId val="14623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36047"/>
        <c:crosses val="autoZero"/>
        <c:crossBetween val="midCat"/>
      </c:valAx>
      <c:valAx>
        <c:axId val="14623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3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  <a:r>
              <a:rPr lang="en-US" baseline="0"/>
              <a:t> Absorption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937642169728784"/>
                  <c:y val="-0.38565689705453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Sheet1!$S$9:$S$38</c:f>
              <c:numCache>
                <c:formatCode>General</c:formatCode>
                <c:ptCount val="30"/>
                <c:pt idx="0">
                  <c:v>0.14650866185077294</c:v>
                </c:pt>
                <c:pt idx="1">
                  <c:v>0.14650866185077294</c:v>
                </c:pt>
                <c:pt idx="2">
                  <c:v>0.14650866185077294</c:v>
                </c:pt>
                <c:pt idx="3">
                  <c:v>0.14650866185077294</c:v>
                </c:pt>
                <c:pt idx="4">
                  <c:v>0.14650866185077294</c:v>
                </c:pt>
                <c:pt idx="5">
                  <c:v>0.14650866185077294</c:v>
                </c:pt>
                <c:pt idx="6">
                  <c:v>0.14650866185077294</c:v>
                </c:pt>
                <c:pt idx="7">
                  <c:v>0.14650866185077294</c:v>
                </c:pt>
                <c:pt idx="8">
                  <c:v>0.14650866185077294</c:v>
                </c:pt>
                <c:pt idx="9">
                  <c:v>0.14650866185077294</c:v>
                </c:pt>
                <c:pt idx="10">
                  <c:v>0.38314167044465475</c:v>
                </c:pt>
                <c:pt idx="11">
                  <c:v>0.38314167044465475</c:v>
                </c:pt>
                <c:pt idx="12">
                  <c:v>0.38314167044465475</c:v>
                </c:pt>
                <c:pt idx="13">
                  <c:v>0.38314167044465475</c:v>
                </c:pt>
                <c:pt idx="14">
                  <c:v>0.38314167044465475</c:v>
                </c:pt>
                <c:pt idx="15">
                  <c:v>0.38314167044465475</c:v>
                </c:pt>
                <c:pt idx="16">
                  <c:v>0.38314167044465475</c:v>
                </c:pt>
                <c:pt idx="17">
                  <c:v>0.38314167044465475</c:v>
                </c:pt>
                <c:pt idx="18">
                  <c:v>0.38314167044465475</c:v>
                </c:pt>
                <c:pt idx="19">
                  <c:v>1.0142937182713132</c:v>
                </c:pt>
                <c:pt idx="20">
                  <c:v>1.0142937182713132</c:v>
                </c:pt>
                <c:pt idx="21">
                  <c:v>1.0142937182713132</c:v>
                </c:pt>
                <c:pt idx="22">
                  <c:v>1.0142937182713132</c:v>
                </c:pt>
                <c:pt idx="23">
                  <c:v>1.0142937182713132</c:v>
                </c:pt>
                <c:pt idx="24">
                  <c:v>1.0142937182713132</c:v>
                </c:pt>
                <c:pt idx="25">
                  <c:v>1.0142937182713132</c:v>
                </c:pt>
                <c:pt idx="26">
                  <c:v>1.0142937182713132</c:v>
                </c:pt>
                <c:pt idx="27">
                  <c:v>1.0142937182713132</c:v>
                </c:pt>
                <c:pt idx="28">
                  <c:v>1.0142937182713132</c:v>
                </c:pt>
                <c:pt idx="29">
                  <c:v>1.0142937182713132</c:v>
                </c:pt>
              </c:numCache>
            </c:numRef>
          </c:xVal>
          <c:yVal>
            <c:numRef>
              <c:f>Sheet1!$T$9:$T$38</c:f>
              <c:numCache>
                <c:formatCode>General</c:formatCode>
                <c:ptCount val="30"/>
                <c:pt idx="0">
                  <c:v>4.7712876792141902E-2</c:v>
                </c:pt>
                <c:pt idx="1">
                  <c:v>4.8164394607539802E-2</c:v>
                </c:pt>
                <c:pt idx="2">
                  <c:v>4.6841778247040701E-2</c:v>
                </c:pt>
                <c:pt idx="3">
                  <c:v>4.7930772270805097E-2</c:v>
                </c:pt>
                <c:pt idx="4">
                  <c:v>4.7916464907701899E-2</c:v>
                </c:pt>
                <c:pt idx="5">
                  <c:v>4.8260922216410498E-2</c:v>
                </c:pt>
                <c:pt idx="6">
                  <c:v>4.78940969094463E-2</c:v>
                </c:pt>
                <c:pt idx="7">
                  <c:v>4.8596600010608303E-2</c:v>
                </c:pt>
                <c:pt idx="8">
                  <c:v>4.8529352775302501E-2</c:v>
                </c:pt>
                <c:pt idx="9">
                  <c:v>4.7865665132403999E-2</c:v>
                </c:pt>
                <c:pt idx="10">
                  <c:v>4.64988576797742E-2</c:v>
                </c:pt>
                <c:pt idx="11">
                  <c:v>4.6994016686578502E-2</c:v>
                </c:pt>
                <c:pt idx="12">
                  <c:v>4.6706160693399598E-2</c:v>
                </c:pt>
                <c:pt idx="13">
                  <c:v>4.7411507849964798E-2</c:v>
                </c:pt>
                <c:pt idx="14">
                  <c:v>4.7895126407649001E-2</c:v>
                </c:pt>
                <c:pt idx="15">
                  <c:v>4.7913746274083902E-2</c:v>
                </c:pt>
                <c:pt idx="16">
                  <c:v>4.7278928857606699E-2</c:v>
                </c:pt>
                <c:pt idx="17">
                  <c:v>4.8060993633046702E-2</c:v>
                </c:pt>
                <c:pt idx="18">
                  <c:v>4.7564085785623399E-2</c:v>
                </c:pt>
                <c:pt idx="19">
                  <c:v>4.7594086855872998E-2</c:v>
                </c:pt>
                <c:pt idx="20">
                  <c:v>4.7865832680007402E-2</c:v>
                </c:pt>
                <c:pt idx="21">
                  <c:v>4.7946198533546001E-2</c:v>
                </c:pt>
                <c:pt idx="22">
                  <c:v>4.7958321334516898E-2</c:v>
                </c:pt>
                <c:pt idx="23">
                  <c:v>4.7745472800668702E-2</c:v>
                </c:pt>
                <c:pt idx="24">
                  <c:v>4.7683759372150601E-2</c:v>
                </c:pt>
                <c:pt idx="25">
                  <c:v>4.79771761493403E-2</c:v>
                </c:pt>
                <c:pt idx="26">
                  <c:v>4.7459600367847798E-2</c:v>
                </c:pt>
                <c:pt idx="27">
                  <c:v>4.7677254085627299E-2</c:v>
                </c:pt>
                <c:pt idx="28">
                  <c:v>4.79891735986843E-2</c:v>
                </c:pt>
                <c:pt idx="29">
                  <c:v>4.7740785482986298E-2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A-4A5B-B24E-259B03CAF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837503"/>
        <c:axId val="1302835423"/>
      </c:scatterChart>
      <c:valAx>
        <c:axId val="130283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</a:t>
                </a:r>
                <a:r>
                  <a:rPr lang="en-US" baseline="0"/>
                  <a:t> Volt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35423"/>
        <c:crosses val="autoZero"/>
        <c:crossBetween val="midCat"/>
      </c:valAx>
      <c:valAx>
        <c:axId val="130283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 Coeff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3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Absorption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502187226596674E-3"/>
                  <c:y val="-0.46035250801983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Sheet1!$V$9:$V$36</c:f>
              <c:numCache>
                <c:formatCode>General</c:formatCode>
                <c:ptCount val="2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0.43</c:v>
                </c:pt>
                <c:pt idx="10">
                  <c:v>0.43</c:v>
                </c:pt>
                <c:pt idx="11">
                  <c:v>0.43</c:v>
                </c:pt>
                <c:pt idx="12">
                  <c:v>0.43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</c:numCache>
            </c:numRef>
          </c:xVal>
          <c:yVal>
            <c:numRef>
              <c:f>Sheet1!$W$9:$W$36</c:f>
              <c:numCache>
                <c:formatCode>General</c:formatCode>
                <c:ptCount val="28"/>
                <c:pt idx="0">
                  <c:v>0.13538022852761</c:v>
                </c:pt>
                <c:pt idx="1">
                  <c:v>0.13465177191208699</c:v>
                </c:pt>
                <c:pt idx="2">
                  <c:v>0.13481086685298899</c:v>
                </c:pt>
                <c:pt idx="3">
                  <c:v>0.13540718732719201</c:v>
                </c:pt>
                <c:pt idx="4">
                  <c:v>0.13459217279489799</c:v>
                </c:pt>
                <c:pt idx="5">
                  <c:v>0.134594471980475</c:v>
                </c:pt>
                <c:pt idx="6">
                  <c:v>0.13522025484822101</c:v>
                </c:pt>
                <c:pt idx="7">
                  <c:v>0.13586271616981099</c:v>
                </c:pt>
                <c:pt idx="8">
                  <c:v>0.135030590966186</c:v>
                </c:pt>
                <c:pt idx="9">
                  <c:v>0.13518210250875301</c:v>
                </c:pt>
                <c:pt idx="10">
                  <c:v>0.13518946121606501</c:v>
                </c:pt>
                <c:pt idx="11">
                  <c:v>0.136375992114487</c:v>
                </c:pt>
                <c:pt idx="12">
                  <c:v>0.13555559802936601</c:v>
                </c:pt>
                <c:pt idx="13">
                  <c:v>0.13620731346533299</c:v>
                </c:pt>
                <c:pt idx="14">
                  <c:v>0.13588543565528499</c:v>
                </c:pt>
                <c:pt idx="15">
                  <c:v>0.13482343117842499</c:v>
                </c:pt>
                <c:pt idx="16">
                  <c:v>0.136797430096464</c:v>
                </c:pt>
                <c:pt idx="17">
                  <c:v>0.136285928993195</c:v>
                </c:pt>
                <c:pt idx="18">
                  <c:v>0.13548958029595701</c:v>
                </c:pt>
                <c:pt idx="19">
                  <c:v>0.13535257602050901</c:v>
                </c:pt>
                <c:pt idx="20">
                  <c:v>0.13521437182562601</c:v>
                </c:pt>
                <c:pt idx="21">
                  <c:v>0.13547579777680199</c:v>
                </c:pt>
                <c:pt idx="22">
                  <c:v>0.135355456711137</c:v>
                </c:pt>
                <c:pt idx="23">
                  <c:v>0.13562845171119001</c:v>
                </c:pt>
                <c:pt idx="24">
                  <c:v>0.135063967225622</c:v>
                </c:pt>
                <c:pt idx="25">
                  <c:v>0.13488752919092301</c:v>
                </c:pt>
                <c:pt idx="26">
                  <c:v>0.13488940608340499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6-4FE2-98D3-3C48569EC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70912"/>
        <c:axId val="1160171392"/>
      </c:scatterChart>
      <c:valAx>
        <c:axId val="116017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 Volt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71392"/>
        <c:crosses val="autoZero"/>
        <c:crossBetween val="midCat"/>
      </c:valAx>
      <c:valAx>
        <c:axId val="11601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</a:t>
                </a:r>
                <a:r>
                  <a:rPr lang="en-US" baseline="0"/>
                  <a:t> Coeff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7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520700</xdr:colOff>
      <xdr:row>13</xdr:row>
      <xdr:rowOff>0</xdr:rowOff>
    </xdr:from>
    <xdr:to>
      <xdr:col>11</xdr:col>
      <xdr:colOff>292100</xdr:colOff>
      <xdr:row>31</xdr:row>
      <xdr:rowOff>41273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ABE19-252B-4422-97A2-44EC6788A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228599</xdr:colOff>
      <xdr:row>32</xdr:row>
      <xdr:rowOff>9525</xdr:rowOff>
    </xdr:from>
    <xdr:to>
      <xdr:col>15</xdr:col>
      <xdr:colOff>276225</xdr:colOff>
      <xdr:row>57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8A8A9-2ECE-4860-9415-569B7A733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82550</xdr:colOff>
      <xdr:row>41</xdr:row>
      <xdr:rowOff>174625</xdr:rowOff>
    </xdr:from>
    <xdr:to>
      <xdr:col>38</xdr:col>
      <xdr:colOff>320675</xdr:colOff>
      <xdr:row>60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D346F4-090B-461B-A898-FC15D98F9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17462</xdr:colOff>
      <xdr:row>15</xdr:row>
      <xdr:rowOff>23812</xdr:rowOff>
    </xdr:from>
    <xdr:to>
      <xdr:col>36</xdr:col>
      <xdr:colOff>322262</xdr:colOff>
      <xdr:row>29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80C365-241E-4B67-990C-9D96543C2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377825</xdr:colOff>
      <xdr:row>23</xdr:row>
      <xdr:rowOff>12700</xdr:rowOff>
    </xdr:from>
    <xdr:to>
      <xdr:col>28</xdr:col>
      <xdr:colOff>73025</xdr:colOff>
      <xdr:row>37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CAF1DA-E611-D2BE-1969-DADBCB7A2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"/>
  <sheetViews>
    <sheetView tabSelected="1" workbookViewId="0">
      <selection activeCell="Y16" sqref="Y16"/>
    </sheetView>
  </sheetViews>
  <sheetFormatPr defaultRowHeight="14.5" x14ac:dyDescent="0.35"/>
  <cols>
    <col min="15" max="15" width="14.7265625" customWidth="1"/>
  </cols>
  <sheetData>
    <row r="1" spans="1:35" x14ac:dyDescent="0.35">
      <c r="B1" t="s">
        <v>0</v>
      </c>
      <c r="E1" t="s">
        <v>2</v>
      </c>
      <c r="H1" t="s">
        <v>1</v>
      </c>
    </row>
    <row r="2" spans="1:35" x14ac:dyDescent="0.35">
      <c r="B2" s="1">
        <v>0.2</v>
      </c>
      <c r="C2" s="1" t="s">
        <v>3</v>
      </c>
      <c r="D2" s="1" t="s">
        <v>4</v>
      </c>
      <c r="E2" s="1">
        <v>0.43</v>
      </c>
      <c r="F2" s="1" t="s">
        <v>3</v>
      </c>
      <c r="G2" s="1" t="s">
        <v>4</v>
      </c>
      <c r="H2">
        <v>1.9</v>
      </c>
      <c r="I2" s="1" t="s">
        <v>3</v>
      </c>
      <c r="J2" s="1" t="s">
        <v>4</v>
      </c>
      <c r="AD2">
        <v>1</v>
      </c>
      <c r="AF2">
        <v>2</v>
      </c>
      <c r="AH2">
        <v>3</v>
      </c>
    </row>
    <row r="3" spans="1:35" x14ac:dyDescent="0.35">
      <c r="A3">
        <v>1</v>
      </c>
      <c r="B3" s="1">
        <v>0.2</v>
      </c>
      <c r="C3" s="1">
        <v>0.13538022852761</v>
      </c>
      <c r="D3" s="1">
        <v>0.83823758715430297</v>
      </c>
      <c r="E3" s="1">
        <v>0.43</v>
      </c>
      <c r="F3" s="1">
        <v>0.13518210250875301</v>
      </c>
      <c r="G3" s="1">
        <v>0.85033107985282597</v>
      </c>
      <c r="H3">
        <v>1.9</v>
      </c>
      <c r="I3" s="1">
        <v>0.13548958029595701</v>
      </c>
      <c r="J3" s="1">
        <v>0.87131792083959003</v>
      </c>
      <c r="L3">
        <f>B2+0.05</f>
        <v>0.25</v>
      </c>
      <c r="M3">
        <f>AVERAGE(C3:C13)</f>
        <v>0.13506114015327431</v>
      </c>
      <c r="N3">
        <f>_xlfn.STDEV.S(C3:C12)</f>
        <v>4.4134305462615887E-4</v>
      </c>
      <c r="O3">
        <f>N3/SQRT(COUNT(C3:C12))</f>
        <v>1.4711435154205296E-4</v>
      </c>
      <c r="P3">
        <f>O3/M3</f>
        <v>1.0892426302273181E-3</v>
      </c>
      <c r="AD3" s="1" t="s">
        <v>3</v>
      </c>
      <c r="AE3" s="1" t="s">
        <v>4</v>
      </c>
      <c r="AF3" s="1" t="s">
        <v>3</v>
      </c>
      <c r="AG3" s="1" t="s">
        <v>4</v>
      </c>
      <c r="AH3" s="1" t="s">
        <v>3</v>
      </c>
      <c r="AI3" s="1" t="s">
        <v>4</v>
      </c>
    </row>
    <row r="4" spans="1:35" x14ac:dyDescent="0.35">
      <c r="A4">
        <v>2</v>
      </c>
      <c r="B4" s="1">
        <v>0.2</v>
      </c>
      <c r="C4" s="1">
        <v>0.13465177191208699</v>
      </c>
      <c r="D4" s="1">
        <v>0.83919127498099999</v>
      </c>
      <c r="E4" s="1">
        <v>0.43</v>
      </c>
      <c r="F4" s="1">
        <v>0.13518946121606501</v>
      </c>
      <c r="G4" s="1">
        <v>0.85015059059048204</v>
      </c>
      <c r="H4">
        <v>1.9</v>
      </c>
      <c r="I4" s="1">
        <v>0.13535257602050901</v>
      </c>
      <c r="J4" s="1">
        <v>0.87199124996167299</v>
      </c>
      <c r="L4">
        <f>E3+0.05</f>
        <v>0.48</v>
      </c>
      <c r="M4">
        <f>AVERAGE(F3:F13)</f>
        <v>0.13581141036193034</v>
      </c>
      <c r="N4">
        <f>_xlfn.STDEV.S(F3:F12)</f>
        <v>6.6169917122627727E-4</v>
      </c>
      <c r="O4">
        <f>N4/SQRT(COUNT(F3:F12))</f>
        <v>2.2056639040875909E-4</v>
      </c>
      <c r="P4">
        <f t="shared" ref="P4:P5" si="0">O4/M4</f>
        <v>1.6240637647526165E-3</v>
      </c>
      <c r="AD4" s="1">
        <v>0.13538022852761</v>
      </c>
      <c r="AE4" s="1">
        <v>0.83823758715430297</v>
      </c>
      <c r="AF4" s="1">
        <v>0.13518210250875301</v>
      </c>
      <c r="AG4" s="1">
        <v>0.85033107985282597</v>
      </c>
      <c r="AH4" s="1">
        <v>0.13548958029595701</v>
      </c>
      <c r="AI4" s="1">
        <v>0.87131792083959003</v>
      </c>
    </row>
    <row r="5" spans="1:35" x14ac:dyDescent="0.35">
      <c r="A5">
        <v>3</v>
      </c>
      <c r="B5" s="1">
        <v>0.2</v>
      </c>
      <c r="C5" s="1">
        <v>0.13481086685298899</v>
      </c>
      <c r="D5" s="1">
        <v>0.83884357019737499</v>
      </c>
      <c r="E5" s="1">
        <v>0.43</v>
      </c>
      <c r="F5" s="1">
        <v>0.136375992114487</v>
      </c>
      <c r="G5" s="1">
        <v>0.85094968351988898</v>
      </c>
      <c r="H5">
        <v>1.9</v>
      </c>
      <c r="I5" s="1">
        <v>0.13521437182562601</v>
      </c>
      <c r="J5" s="1">
        <v>0.87225000855282098</v>
      </c>
      <c r="L5">
        <f>H3+0.05</f>
        <v>1.95</v>
      </c>
      <c r="M5">
        <f>AVERAGE(I3:I13)</f>
        <v>0.13526190409346342</v>
      </c>
      <c r="N5">
        <f>_xlfn.STDEV.S(I3:I13)</f>
        <v>2.6675533334150238E-4</v>
      </c>
      <c r="O5">
        <f>N5/SQRT(COUNT(I3:I13))</f>
        <v>8.8918444447167456E-5</v>
      </c>
      <c r="P5">
        <f t="shared" si="0"/>
        <v>6.5737980729390364E-4</v>
      </c>
      <c r="AD5" s="1">
        <v>0.13465177191208699</v>
      </c>
      <c r="AE5" s="1">
        <v>0.83919127498099999</v>
      </c>
      <c r="AF5" s="1">
        <v>0.13518946121606501</v>
      </c>
      <c r="AG5" s="1">
        <v>0.85015059059048204</v>
      </c>
      <c r="AH5" s="1">
        <v>0.13535257602050901</v>
      </c>
      <c r="AI5" s="1">
        <v>0.87199124996167299</v>
      </c>
    </row>
    <row r="6" spans="1:35" x14ac:dyDescent="0.35">
      <c r="A6">
        <v>4</v>
      </c>
      <c r="B6" s="1">
        <v>0.2</v>
      </c>
      <c r="C6" s="1">
        <v>0.13540718732719201</v>
      </c>
      <c r="D6" s="1">
        <v>0.83875717395846305</v>
      </c>
      <c r="E6" s="1">
        <v>0.43</v>
      </c>
      <c r="F6" s="1">
        <v>0.13555559802936601</v>
      </c>
      <c r="G6" s="1">
        <v>0.85058451946696201</v>
      </c>
      <c r="H6">
        <v>1.9</v>
      </c>
      <c r="I6" s="1">
        <v>0.13547579777680199</v>
      </c>
      <c r="J6" s="1">
        <v>0.87247757181119401</v>
      </c>
      <c r="R6">
        <f>AVERAGE(M3:M5)</f>
        <v>0.13537815153622268</v>
      </c>
      <c r="S6">
        <f>0.00003/R6</f>
        <v>2.2160148930658874E-4</v>
      </c>
      <c r="AD6" s="1">
        <v>0.13481086685298899</v>
      </c>
      <c r="AE6" s="1">
        <v>0.83884357019737499</v>
      </c>
      <c r="AF6" s="1">
        <v>0.136375992114487</v>
      </c>
      <c r="AG6" s="1">
        <v>0.85094968351988898</v>
      </c>
      <c r="AH6" s="1">
        <v>0.13521437182562601</v>
      </c>
      <c r="AI6" s="1">
        <v>0.87225000855282098</v>
      </c>
    </row>
    <row r="7" spans="1:35" x14ac:dyDescent="0.35">
      <c r="A7">
        <v>5</v>
      </c>
      <c r="B7" s="1">
        <v>0.2</v>
      </c>
      <c r="C7" s="1">
        <v>0.13459217279489799</v>
      </c>
      <c r="D7" s="1">
        <v>0.83882303502512201</v>
      </c>
      <c r="E7" s="1">
        <v>0.43</v>
      </c>
      <c r="F7" s="1">
        <v>0.13620731346533299</v>
      </c>
      <c r="G7" s="1">
        <v>0.851139563886669</v>
      </c>
      <c r="H7">
        <v>1.9</v>
      </c>
      <c r="I7" s="1">
        <v>0.135355456711137</v>
      </c>
      <c r="J7" s="1">
        <v>0.87673491688351202</v>
      </c>
      <c r="AD7" s="1">
        <v>0.13540718732719201</v>
      </c>
      <c r="AE7" s="1">
        <v>0.83875717395846305</v>
      </c>
      <c r="AF7" s="1">
        <v>0.13555559802936601</v>
      </c>
      <c r="AG7" s="1">
        <v>0.85058451946696201</v>
      </c>
      <c r="AH7" s="1">
        <v>0.13547579777680199</v>
      </c>
      <c r="AI7" s="1">
        <v>0.87247757181119401</v>
      </c>
    </row>
    <row r="8" spans="1:35" x14ac:dyDescent="0.35">
      <c r="A8">
        <v>6</v>
      </c>
      <c r="B8" s="1">
        <v>0.2</v>
      </c>
      <c r="C8" s="1">
        <v>0.134594471980475</v>
      </c>
      <c r="D8" s="1">
        <v>0.83840915587926101</v>
      </c>
      <c r="E8" s="1">
        <v>0.43</v>
      </c>
      <c r="F8" s="1">
        <v>0.13588543565528499</v>
      </c>
      <c r="G8" s="1">
        <v>0.85115781595748696</v>
      </c>
      <c r="H8">
        <v>1.9</v>
      </c>
      <c r="I8" s="1">
        <v>0.13562845171119001</v>
      </c>
      <c r="J8" s="1">
        <v>0.87671353645148498</v>
      </c>
      <c r="AD8" s="1">
        <v>0.13459217279489799</v>
      </c>
      <c r="AE8" s="1">
        <v>0.83882303502512201</v>
      </c>
      <c r="AF8" s="1">
        <v>0.13620731346533299</v>
      </c>
      <c r="AG8" s="1">
        <v>0.851139563886669</v>
      </c>
      <c r="AH8" s="1">
        <v>0.135355456711137</v>
      </c>
      <c r="AI8" s="1">
        <v>0.87673491688351202</v>
      </c>
    </row>
    <row r="9" spans="1:35" x14ac:dyDescent="0.35">
      <c r="A9">
        <v>7</v>
      </c>
      <c r="B9" s="1">
        <v>0.2</v>
      </c>
      <c r="C9" s="1">
        <v>0.13522025484822101</v>
      </c>
      <c r="D9" s="1">
        <v>0.83712407596487803</v>
      </c>
      <c r="E9" s="1">
        <v>0.43</v>
      </c>
      <c r="F9" s="1">
        <v>0.13482343117842499</v>
      </c>
      <c r="G9" s="1">
        <v>0.85158332958003902</v>
      </c>
      <c r="H9">
        <v>1.9</v>
      </c>
      <c r="I9" s="1">
        <v>0.135063967225622</v>
      </c>
      <c r="J9" s="1">
        <v>0.87668269721274505</v>
      </c>
      <c r="S9">
        <v>0.14650866185077294</v>
      </c>
      <c r="T9" s="1">
        <v>4.7712876792141902E-2</v>
      </c>
      <c r="V9" s="1">
        <v>0.2</v>
      </c>
      <c r="W9" s="1">
        <v>0.13538022852761</v>
      </c>
      <c r="AD9" s="1">
        <v>0.134594471980475</v>
      </c>
      <c r="AE9" s="1">
        <v>0.83840915587926101</v>
      </c>
      <c r="AF9" s="1">
        <v>0.13588543565528499</v>
      </c>
      <c r="AG9" s="1">
        <v>0.85115781595748696</v>
      </c>
      <c r="AH9" s="1">
        <v>0.13562845171119001</v>
      </c>
      <c r="AI9" s="1">
        <v>0.87671353645148498</v>
      </c>
    </row>
    <row r="10" spans="1:35" x14ac:dyDescent="0.35">
      <c r="A10">
        <v>8</v>
      </c>
      <c r="B10" s="1">
        <v>0.2</v>
      </c>
      <c r="C10" s="1">
        <v>0.13586271616981099</v>
      </c>
      <c r="D10" s="1">
        <v>0.84038736827086302</v>
      </c>
      <c r="E10" s="1">
        <v>0.43</v>
      </c>
      <c r="F10" s="1">
        <v>0.136797430096464</v>
      </c>
      <c r="G10" s="1">
        <v>0.85055175627919799</v>
      </c>
      <c r="H10">
        <v>1.9</v>
      </c>
      <c r="I10" s="1">
        <v>0.13488752919092301</v>
      </c>
      <c r="J10" s="1">
        <v>0.87699702135039803</v>
      </c>
      <c r="S10">
        <v>0.14650866185077294</v>
      </c>
      <c r="T10" s="1">
        <v>4.8164394607539802E-2</v>
      </c>
      <c r="V10" s="1">
        <v>0.2</v>
      </c>
      <c r="W10" s="1">
        <v>0.13465177191208699</v>
      </c>
      <c r="AD10" s="1">
        <v>0.13522025484822101</v>
      </c>
      <c r="AE10" s="1">
        <v>0.83712407596487803</v>
      </c>
      <c r="AF10" s="1">
        <v>0.13482343117842499</v>
      </c>
      <c r="AG10" s="1">
        <v>0.85158332958003902</v>
      </c>
      <c r="AH10" s="1">
        <v>0.135063967225622</v>
      </c>
      <c r="AI10" s="1">
        <v>0.87668269721274505</v>
      </c>
    </row>
    <row r="11" spans="1:35" x14ac:dyDescent="0.35">
      <c r="A11">
        <v>9</v>
      </c>
      <c r="B11" s="1">
        <v>0.2</v>
      </c>
      <c r="C11" s="1">
        <v>0.135030590966186</v>
      </c>
      <c r="D11" s="1">
        <v>0.83899664790976702</v>
      </c>
      <c r="E11" s="1">
        <v>0.43</v>
      </c>
      <c r="F11" s="1">
        <v>0.136285928993195</v>
      </c>
      <c r="G11" s="1">
        <v>0.85090465377646096</v>
      </c>
      <c r="H11">
        <v>1.9</v>
      </c>
      <c r="I11" s="1">
        <v>0.13488940608340499</v>
      </c>
      <c r="J11" s="1">
        <v>0.87686535046181002</v>
      </c>
      <c r="S11">
        <v>0.14650866185077294</v>
      </c>
      <c r="T11" s="1">
        <v>4.6841778247040701E-2</v>
      </c>
      <c r="V11" s="1">
        <v>0.2</v>
      </c>
      <c r="W11" s="1">
        <v>0.13481086685298899</v>
      </c>
      <c r="AD11" s="1">
        <v>0.13586271616981099</v>
      </c>
      <c r="AE11" s="1">
        <v>0.84038736827086302</v>
      </c>
      <c r="AF11" s="1">
        <v>0.136797430096464</v>
      </c>
      <c r="AG11" s="1">
        <v>0.85055175627919799</v>
      </c>
      <c r="AH11" s="1">
        <v>0.13488752919092301</v>
      </c>
      <c r="AI11" s="1">
        <v>0.87699702135039803</v>
      </c>
    </row>
    <row r="12" spans="1:35" x14ac:dyDescent="0.35">
      <c r="B12" s="1"/>
      <c r="C12" s="1"/>
      <c r="D12" s="1"/>
      <c r="F12" s="1"/>
      <c r="G12" s="1"/>
      <c r="I12" s="1"/>
      <c r="J12" s="1"/>
      <c r="S12">
        <v>0.14650866185077294</v>
      </c>
      <c r="T12" s="1">
        <v>4.7930772270805097E-2</v>
      </c>
      <c r="V12" s="1">
        <v>0.2</v>
      </c>
      <c r="W12" s="1">
        <v>0.13540718732719201</v>
      </c>
      <c r="AD12" s="1">
        <v>0.135030590966186</v>
      </c>
      <c r="AE12" s="1">
        <v>0.83899664790976702</v>
      </c>
      <c r="AF12" s="1">
        <v>0.136285928993195</v>
      </c>
      <c r="AG12" s="1">
        <v>0.85090465377646096</v>
      </c>
      <c r="AH12" s="1">
        <v>0.13488940608340499</v>
      </c>
      <c r="AI12" s="1">
        <v>0.87686535046181002</v>
      </c>
    </row>
    <row r="13" spans="1:35" x14ac:dyDescent="0.35">
      <c r="F13" s="1"/>
      <c r="G13" s="1"/>
      <c r="I13" s="1"/>
      <c r="J13" s="1"/>
      <c r="S13">
        <v>0.14650866185077294</v>
      </c>
      <c r="T13" s="1">
        <v>4.7916464907701899E-2</v>
      </c>
      <c r="V13" s="1">
        <v>0.2</v>
      </c>
      <c r="W13" s="1">
        <v>0.13459217279489799</v>
      </c>
      <c r="AF13" s="1">
        <v>0.13638091085238799</v>
      </c>
      <c r="AG13" s="1">
        <v>0.85101092318524996</v>
      </c>
    </row>
    <row r="14" spans="1:35" x14ac:dyDescent="0.35">
      <c r="S14">
        <v>0.14650866185077294</v>
      </c>
      <c r="T14" s="1">
        <v>4.8260922216410498E-2</v>
      </c>
      <c r="V14" s="1">
        <v>0.2</v>
      </c>
      <c r="W14" s="1">
        <v>0.134594471980475</v>
      </c>
      <c r="AF14" s="1">
        <v>0.13648754807274699</v>
      </c>
      <c r="AG14" s="1">
        <v>0.85154292457302105</v>
      </c>
    </row>
    <row r="15" spans="1:35" x14ac:dyDescent="0.35">
      <c r="S15">
        <v>0.14650866185077294</v>
      </c>
      <c r="T15" s="1">
        <v>4.78940969094463E-2</v>
      </c>
      <c r="V15" s="1">
        <v>0.2</v>
      </c>
      <c r="W15" s="1">
        <v>0.13522025484822101</v>
      </c>
    </row>
    <row r="16" spans="1:35" x14ac:dyDescent="0.35">
      <c r="S16">
        <v>0.14650866185077294</v>
      </c>
      <c r="T16" s="1">
        <v>4.8596600010608303E-2</v>
      </c>
      <c r="V16" s="1">
        <v>0.2</v>
      </c>
      <c r="W16" s="1">
        <v>0.13586271616981099</v>
      </c>
    </row>
    <row r="17" spans="19:23" x14ac:dyDescent="0.35">
      <c r="S17">
        <v>0.14650866185077294</v>
      </c>
      <c r="T17" s="1">
        <v>4.8529352775302501E-2</v>
      </c>
      <c r="V17" s="1">
        <v>0.2</v>
      </c>
      <c r="W17" s="1">
        <v>0.135030590966186</v>
      </c>
    </row>
    <row r="18" spans="19:23" x14ac:dyDescent="0.35">
      <c r="S18">
        <v>0.14650866185077294</v>
      </c>
      <c r="T18" s="1">
        <v>4.7865665132403999E-2</v>
      </c>
      <c r="V18" s="1">
        <v>0.43</v>
      </c>
      <c r="W18" s="1">
        <v>0.13518210250875301</v>
      </c>
    </row>
    <row r="19" spans="19:23" x14ac:dyDescent="0.35">
      <c r="S19">
        <v>0.38314167044465475</v>
      </c>
      <c r="T19" s="1">
        <v>4.64988576797742E-2</v>
      </c>
      <c r="V19" s="1">
        <v>0.43</v>
      </c>
      <c r="W19" s="1">
        <v>0.13518946121606501</v>
      </c>
    </row>
    <row r="20" spans="19:23" x14ac:dyDescent="0.35">
      <c r="S20">
        <v>0.38314167044465475</v>
      </c>
      <c r="T20" s="1">
        <v>4.6994016686578502E-2</v>
      </c>
      <c r="V20" s="1">
        <v>0.43</v>
      </c>
      <c r="W20" s="1">
        <v>0.136375992114487</v>
      </c>
    </row>
    <row r="21" spans="19:23" x14ac:dyDescent="0.35">
      <c r="S21">
        <v>0.38314167044465475</v>
      </c>
      <c r="T21" s="1">
        <v>4.6706160693399598E-2</v>
      </c>
      <c r="V21" s="1">
        <v>0.43</v>
      </c>
      <c r="W21" s="1">
        <v>0.13555559802936601</v>
      </c>
    </row>
    <row r="22" spans="19:23" x14ac:dyDescent="0.35">
      <c r="S22">
        <v>0.38314167044465475</v>
      </c>
      <c r="T22" s="1">
        <v>4.7411507849964798E-2</v>
      </c>
      <c r="V22" s="1">
        <v>0.43</v>
      </c>
      <c r="W22" s="1">
        <v>0.13620731346533299</v>
      </c>
    </row>
    <row r="23" spans="19:23" x14ac:dyDescent="0.35">
      <c r="S23">
        <v>0.38314167044465475</v>
      </c>
      <c r="T23" s="1">
        <v>4.7895126407649001E-2</v>
      </c>
      <c r="V23" s="1">
        <v>0.43</v>
      </c>
      <c r="W23" s="1">
        <v>0.13588543565528499</v>
      </c>
    </row>
    <row r="24" spans="19:23" x14ac:dyDescent="0.35">
      <c r="S24">
        <v>0.38314167044465475</v>
      </c>
      <c r="T24" s="1">
        <v>4.7913746274083902E-2</v>
      </c>
      <c r="V24" s="1">
        <v>0.43</v>
      </c>
      <c r="W24" s="1">
        <v>0.13482343117842499</v>
      </c>
    </row>
    <row r="25" spans="19:23" x14ac:dyDescent="0.35">
      <c r="S25">
        <v>0.38314167044465475</v>
      </c>
      <c r="T25" s="1">
        <v>4.7278928857606699E-2</v>
      </c>
      <c r="V25" s="1">
        <v>0.43</v>
      </c>
      <c r="W25" s="1">
        <v>0.136797430096464</v>
      </c>
    </row>
    <row r="26" spans="19:23" x14ac:dyDescent="0.35">
      <c r="S26">
        <v>0.38314167044465475</v>
      </c>
      <c r="T26" s="1">
        <v>4.8060993633046702E-2</v>
      </c>
      <c r="V26" s="1">
        <v>0.43</v>
      </c>
      <c r="W26" s="1">
        <v>0.136285928993195</v>
      </c>
    </row>
    <row r="27" spans="19:23" x14ac:dyDescent="0.35">
      <c r="S27">
        <v>0.38314167044465475</v>
      </c>
      <c r="T27" s="1">
        <v>4.7564085785623399E-2</v>
      </c>
      <c r="V27">
        <v>1.9</v>
      </c>
      <c r="W27" s="1">
        <v>0.13548958029595701</v>
      </c>
    </row>
    <row r="28" spans="19:23" x14ac:dyDescent="0.35">
      <c r="S28">
        <v>1.0142937182713132</v>
      </c>
      <c r="T28" s="1">
        <v>4.7594086855872998E-2</v>
      </c>
      <c r="V28">
        <v>1.9</v>
      </c>
      <c r="W28" s="1">
        <v>0.13535257602050901</v>
      </c>
    </row>
    <row r="29" spans="19:23" x14ac:dyDescent="0.35">
      <c r="S29">
        <v>1.0142937182713132</v>
      </c>
      <c r="T29" s="1">
        <v>4.7865832680007402E-2</v>
      </c>
      <c r="V29">
        <v>1.9</v>
      </c>
      <c r="W29" s="1">
        <v>0.13521437182562601</v>
      </c>
    </row>
    <row r="30" spans="19:23" x14ac:dyDescent="0.35">
      <c r="S30">
        <v>1.0142937182713132</v>
      </c>
      <c r="T30" s="1">
        <v>4.7946198533546001E-2</v>
      </c>
      <c r="V30">
        <v>1.9</v>
      </c>
      <c r="W30" s="1">
        <v>0.13547579777680199</v>
      </c>
    </row>
    <row r="31" spans="19:23" x14ac:dyDescent="0.35">
      <c r="S31">
        <v>1.0142937182713132</v>
      </c>
      <c r="T31" s="1">
        <v>4.7958321334516898E-2</v>
      </c>
      <c r="V31">
        <v>1.9</v>
      </c>
      <c r="W31" s="1">
        <v>0.135355456711137</v>
      </c>
    </row>
    <row r="32" spans="19:23" x14ac:dyDescent="0.35">
      <c r="S32">
        <v>1.0142937182713132</v>
      </c>
      <c r="T32" s="1">
        <v>4.7745472800668702E-2</v>
      </c>
      <c r="V32">
        <v>1.9</v>
      </c>
      <c r="W32" s="1">
        <v>0.13562845171119001</v>
      </c>
    </row>
    <row r="33" spans="19:23" x14ac:dyDescent="0.35">
      <c r="S33">
        <v>1.0142937182713132</v>
      </c>
      <c r="T33" s="1">
        <v>4.7683759372150601E-2</v>
      </c>
      <c r="V33">
        <v>1.9</v>
      </c>
      <c r="W33" s="1">
        <v>0.135063967225622</v>
      </c>
    </row>
    <row r="34" spans="19:23" x14ac:dyDescent="0.35">
      <c r="S34">
        <v>1.0142937182713132</v>
      </c>
      <c r="T34" s="1">
        <v>4.79771761493403E-2</v>
      </c>
      <c r="V34">
        <v>1.9</v>
      </c>
      <c r="W34" s="1">
        <v>0.13488752919092301</v>
      </c>
    </row>
    <row r="35" spans="19:23" x14ac:dyDescent="0.35">
      <c r="S35">
        <v>1.0142937182713132</v>
      </c>
      <c r="T35" s="1">
        <v>4.7459600367847798E-2</v>
      </c>
      <c r="V35">
        <v>1.9</v>
      </c>
      <c r="W35" s="1">
        <v>0.13488940608340499</v>
      </c>
    </row>
    <row r="36" spans="19:23" x14ac:dyDescent="0.35">
      <c r="S36">
        <v>1.0142937182713132</v>
      </c>
      <c r="T36" s="1">
        <v>4.7677254085627299E-2</v>
      </c>
    </row>
    <row r="37" spans="19:23" x14ac:dyDescent="0.35">
      <c r="S37">
        <v>1.0142937182713132</v>
      </c>
      <c r="T37" s="1">
        <v>4.79891735986843E-2</v>
      </c>
    </row>
    <row r="38" spans="19:23" x14ac:dyDescent="0.35">
      <c r="S38">
        <v>1.0142937182713132</v>
      </c>
      <c r="T38" s="1">
        <v>4.7740785482986298E-2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44BB-97B2-4005-A11E-A7B4189340B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2026-10-14T20:16:09Z</dcterms:modified>
</cp:coreProperties>
</file>