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lfwalker\Documents\git\6s7p\BeatnotePostHotCell\Jun17,2026\"/>
    </mc:Choice>
  </mc:AlternateContent>
  <xr:revisionPtr revIDLastSave="0" documentId="13_ncr:1_{1FA8C14D-6056-420A-A4CB-6624687BA3AA}" xr6:coauthVersionLast="47" xr6:coauthVersionMax="47" xr10:uidLastSave="{00000000-0000-0000-0000-000000000000}"/>
  <bookViews>
    <workbookView xWindow="-110" yWindow="-110" windowWidth="38620" windowHeight="21100" activeTab="2" xr2:uid="{D9E101C5-8284-4B59-8B1C-2AD2D5F2FDD3}"/>
  </bookViews>
  <sheets>
    <sheet name="894" sheetId="2" r:id="rId1"/>
    <sheet name="456" sheetId="1" r:id="rId2"/>
    <sheet name="AbsCoef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" i="3" l="1"/>
  <c r="G4" i="3"/>
  <c r="F3" i="3"/>
  <c r="F4" i="3"/>
  <c r="G5" i="3" l="1"/>
  <c r="F5" i="3"/>
</calcChain>
</file>

<file path=xl/sharedStrings.xml><?xml version="1.0" encoding="utf-8"?>
<sst xmlns="http://schemas.openxmlformats.org/spreadsheetml/2006/main" count="89" uniqueCount="32">
  <si>
    <t>Date</t>
  </si>
  <si>
    <t>Mean</t>
  </si>
  <si>
    <t>STD</t>
  </si>
  <si>
    <t>Mean/std/sqrt(n)</t>
  </si>
  <si>
    <t>Alpha</t>
  </si>
  <si>
    <t>P0</t>
  </si>
  <si>
    <t>h1</t>
  </si>
  <si>
    <t>mv</t>
  </si>
  <si>
    <t>T</t>
  </si>
  <si>
    <t>gamma</t>
  </si>
  <si>
    <t>offset</t>
  </si>
  <si>
    <t>Jun17,2026+10-22-42AM</t>
  </si>
  <si>
    <t>Jun17,2026+10-30-40AM</t>
  </si>
  <si>
    <t>Jun17,2026+10-38-47AM</t>
  </si>
  <si>
    <t>Jun17,2026+10-55-47AM</t>
  </si>
  <si>
    <t>Jun17,2026+11-03-39AM</t>
  </si>
  <si>
    <t>Jun17,2026+11-11-38AM</t>
  </si>
  <si>
    <t>Jun17,2026+11-19-32AM</t>
  </si>
  <si>
    <t>Jun17,2026+11-30-44AM</t>
  </si>
  <si>
    <t>Jun17,2026+9-31-05AM</t>
  </si>
  <si>
    <t>Jun17,2026+9-49-23AM</t>
  </si>
  <si>
    <t>Jun17,2026+1-02-30PM</t>
  </si>
  <si>
    <t>Jun17,2026+1-29-43PM</t>
  </si>
  <si>
    <t>Jun17,2026+1-37-39PM</t>
  </si>
  <si>
    <t>Jun17,2026+11-47-12AM</t>
  </si>
  <si>
    <t>Jun17,2026+11-58-43AM</t>
  </si>
  <si>
    <t>Jun17,2026+12-12-45PM</t>
  </si>
  <si>
    <t>Jun17,2026+12-28-25PM</t>
  </si>
  <si>
    <t>Jun17,2026+12-39-06PM</t>
  </si>
  <si>
    <t>Jun17,2026+12-46-56PM</t>
  </si>
  <si>
    <t>Jun17,2026+10-47-10AM</t>
  </si>
  <si>
    <t>Jun17,2026+9-59-16AM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</si>
</sst>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5617D-2BBC-4C21-ADC4-3687FEC8C6E3}">
  <dimension ref="A1:S33"/>
  <sheetViews>
    <sheetView workbookViewId="0">
      <selection sqref="A1:B1048576"/>
    </sheetView>
  </sheetViews>
  <sheetFormatPr defaultRowHeight="14.5" x14ac:dyDescent="0.35"/>
  <sheetData>
    <row r="1" spans="1:19" x14ac:dyDescent="0.3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43.5" x14ac:dyDescent="0.35">
      <c r="A2" s="1" t="s">
        <v>19</v>
      </c>
      <c r="B2" s="1">
        <v>10.6515835159838</v>
      </c>
      <c r="C2" s="1">
        <v>1.3499055781228799</v>
      </c>
      <c r="D2" s="1">
        <v>-1.5508841889323301E-3</v>
      </c>
      <c r="E2" s="1">
        <v>1.8280825962568199</v>
      </c>
      <c r="F2" s="1">
        <v>39.581823700407099</v>
      </c>
      <c r="G2" s="1">
        <v>2.28730049570432E-3</v>
      </c>
      <c r="H2" s="1"/>
      <c r="Q2" s="1"/>
      <c r="R2" s="1"/>
      <c r="S2" s="1"/>
    </row>
    <row r="3" spans="1:19" ht="43.5" x14ac:dyDescent="0.35">
      <c r="A3" s="1" t="s">
        <v>20</v>
      </c>
      <c r="B3" s="1">
        <v>10.663341069103801</v>
      </c>
      <c r="C3" s="1">
        <v>1.3417020534337301</v>
      </c>
      <c r="D3" s="1">
        <v>-2.27497074949786E-4</v>
      </c>
      <c r="E3" s="1">
        <v>0.62218902914556495</v>
      </c>
      <c r="F3" s="1">
        <v>39.632658228996398</v>
      </c>
      <c r="G3" s="1">
        <v>2.2873005107760299E-3</v>
      </c>
      <c r="H3" s="1"/>
      <c r="Q3" s="1"/>
      <c r="S3" s="1"/>
    </row>
    <row r="4" spans="1:19" ht="43.5" x14ac:dyDescent="0.35">
      <c r="A4" s="1" t="s">
        <v>11</v>
      </c>
      <c r="B4" s="1">
        <v>10.720671290806401</v>
      </c>
      <c r="C4" s="1">
        <v>1.3494922798897899</v>
      </c>
      <c r="D4" s="1">
        <v>-1.33429009407263E-3</v>
      </c>
      <c r="E4" s="1">
        <v>1.8737094920286901</v>
      </c>
      <c r="F4" s="1">
        <v>39.670639190000699</v>
      </c>
      <c r="G4" s="1">
        <v>2.28730049570175E-3</v>
      </c>
      <c r="H4" s="1"/>
      <c r="Q4" s="1"/>
      <c r="S4" s="1"/>
    </row>
    <row r="5" spans="1:19" ht="43.5" x14ac:dyDescent="0.35">
      <c r="A5" s="1" t="s">
        <v>12</v>
      </c>
      <c r="B5" s="1">
        <v>10.6070403098376</v>
      </c>
      <c r="C5" s="1">
        <v>1.35031403518862</v>
      </c>
      <c r="D5" s="1">
        <v>-2.2906869454436801E-3</v>
      </c>
      <c r="E5" s="1">
        <v>1.82275606143084</v>
      </c>
      <c r="F5" s="1">
        <v>41.661849527869599</v>
      </c>
      <c r="G5" s="1">
        <v>2.8970431393728802E-3</v>
      </c>
      <c r="H5" s="1"/>
      <c r="Q5" s="1"/>
      <c r="S5" s="1"/>
    </row>
    <row r="6" spans="1:19" ht="43.5" x14ac:dyDescent="0.35">
      <c r="A6" s="1" t="s">
        <v>13</v>
      </c>
      <c r="B6" s="1">
        <v>10.607916558495299</v>
      </c>
      <c r="C6" s="1">
        <v>1.34708757711682</v>
      </c>
      <c r="D6" s="1">
        <v>-1.72380965717436E-3</v>
      </c>
      <c r="E6" s="1">
        <v>1.8747551615686699</v>
      </c>
      <c r="F6" s="1">
        <v>41.704919179331299</v>
      </c>
      <c r="G6" s="1">
        <v>3.63614991960646E-3</v>
      </c>
      <c r="H6" s="1"/>
      <c r="I6" s="1"/>
      <c r="J6" s="1"/>
      <c r="K6" s="1"/>
      <c r="L6" s="1"/>
      <c r="M6" s="1"/>
      <c r="N6" s="1"/>
      <c r="Q6" s="1"/>
      <c r="S6" s="1"/>
    </row>
    <row r="7" spans="1:19" ht="43.5" x14ac:dyDescent="0.35">
      <c r="A7" s="1" t="s">
        <v>14</v>
      </c>
      <c r="B7" s="1">
        <v>10.796548325563</v>
      </c>
      <c r="C7" s="1">
        <v>1.34308351338034</v>
      </c>
      <c r="D7" s="1">
        <v>-7.1179674146301501E-4</v>
      </c>
      <c r="E7" s="1">
        <v>1.87697266922684</v>
      </c>
      <c r="F7" s="1">
        <v>39.726449410031101</v>
      </c>
      <c r="G7" s="1">
        <v>2.2873004957028702E-3</v>
      </c>
      <c r="Q7" s="1"/>
      <c r="S7" s="1"/>
    </row>
    <row r="8" spans="1:19" ht="43.5" x14ac:dyDescent="0.35">
      <c r="A8" s="1" t="s">
        <v>15</v>
      </c>
      <c r="B8" s="1">
        <v>10.8409786177823</v>
      </c>
      <c r="C8" s="1">
        <v>1.3436939312632601</v>
      </c>
      <c r="D8" s="1">
        <v>-1.3072784536794699E-3</v>
      </c>
      <c r="E8" s="1">
        <v>1.87461928402052</v>
      </c>
      <c r="F8" s="1">
        <v>39.7239448102574</v>
      </c>
      <c r="G8" s="1">
        <v>2.2873004957091199E-3</v>
      </c>
      <c r="Q8" s="1"/>
      <c r="S8" s="1"/>
    </row>
    <row r="9" spans="1:19" ht="43.5" x14ac:dyDescent="0.35">
      <c r="A9" s="1" t="s">
        <v>16</v>
      </c>
      <c r="B9" s="1">
        <v>10.772956842649499</v>
      </c>
      <c r="C9" s="1">
        <v>1.3448577359478999</v>
      </c>
      <c r="D9" s="1">
        <v>-1.1985825775852701E-3</v>
      </c>
      <c r="E9" s="1">
        <v>1.8722545023650701</v>
      </c>
      <c r="F9" s="1">
        <v>39.745544730007303</v>
      </c>
      <c r="G9" s="1">
        <v>2.2873004957018098E-3</v>
      </c>
      <c r="Q9" s="1"/>
      <c r="S9" s="1"/>
    </row>
    <row r="10" spans="1:19" ht="43.5" x14ac:dyDescent="0.35">
      <c r="A10" s="1" t="s">
        <v>17</v>
      </c>
      <c r="B10" s="1">
        <v>10.6830303352735</v>
      </c>
      <c r="C10" s="1">
        <v>1.3441713486611599</v>
      </c>
      <c r="D10" s="1">
        <v>-1.81411573338675E-3</v>
      </c>
      <c r="E10" s="1">
        <v>1.87232553370303</v>
      </c>
      <c r="F10" s="1">
        <v>41.764854629149298</v>
      </c>
      <c r="G10" s="1">
        <v>2.30521261844247E-3</v>
      </c>
      <c r="Q10" s="1"/>
      <c r="S10" s="1"/>
    </row>
    <row r="11" spans="1:19" ht="43.5" x14ac:dyDescent="0.35">
      <c r="A11" s="1" t="s">
        <v>18</v>
      </c>
      <c r="B11" s="1">
        <v>10.585364148466899</v>
      </c>
      <c r="C11" s="1">
        <v>1.3500341643115099</v>
      </c>
      <c r="D11" s="1">
        <v>-1.80539302482896E-3</v>
      </c>
      <c r="E11" s="1">
        <v>1.8736330370271901</v>
      </c>
      <c r="F11" s="1">
        <v>41.781963096039902</v>
      </c>
      <c r="G11" s="1">
        <v>3.18070265854821E-3</v>
      </c>
      <c r="Q11" s="1"/>
      <c r="R11" s="1"/>
    </row>
    <row r="12" spans="1:19" ht="43.5" x14ac:dyDescent="0.35">
      <c r="A12" s="1" t="s">
        <v>24</v>
      </c>
      <c r="B12" s="1">
        <v>10.5286364956397</v>
      </c>
      <c r="C12" s="1">
        <v>1.34675201330321</v>
      </c>
      <c r="D12" s="1">
        <v>-1.8955653428563101E-3</v>
      </c>
      <c r="E12" s="1">
        <v>1.8235456520647699</v>
      </c>
      <c r="F12" s="1">
        <v>41.791182169146097</v>
      </c>
      <c r="G12" s="1">
        <v>3.3495971122072801E-3</v>
      </c>
      <c r="R12" s="1"/>
    </row>
    <row r="13" spans="1:19" ht="43.5" x14ac:dyDescent="0.35">
      <c r="A13" s="1" t="s">
        <v>25</v>
      </c>
      <c r="B13" s="1">
        <v>10.6204309820713</v>
      </c>
      <c r="C13" s="1">
        <v>1.3457615023282099</v>
      </c>
      <c r="D13" s="1">
        <v>-1.96026453135828E-3</v>
      </c>
      <c r="E13" s="1">
        <v>1.8254782781254999</v>
      </c>
      <c r="F13" s="1">
        <v>40.826138903272401</v>
      </c>
      <c r="G13" s="1">
        <v>3.0446984005527999E-3</v>
      </c>
      <c r="R13" s="1"/>
    </row>
    <row r="14" spans="1:19" ht="43.5" x14ac:dyDescent="0.35">
      <c r="A14" s="1" t="s">
        <v>26</v>
      </c>
      <c r="B14" s="1">
        <v>10.6162779389606</v>
      </c>
      <c r="C14" s="1">
        <v>1.3457695779799399</v>
      </c>
      <c r="D14" s="1">
        <v>-2.20056032620857E-3</v>
      </c>
      <c r="E14" s="1">
        <v>1.8248431255642299</v>
      </c>
      <c r="F14" s="1">
        <v>41.782597989943298</v>
      </c>
      <c r="G14" s="1">
        <v>3.7484655199230199E-3</v>
      </c>
      <c r="R14" s="1"/>
    </row>
    <row r="15" spans="1:19" ht="43.5" x14ac:dyDescent="0.35">
      <c r="A15" s="1" t="s">
        <v>27</v>
      </c>
      <c r="B15" s="1">
        <v>10.775713711424901</v>
      </c>
      <c r="C15" s="1">
        <v>1.3411990012753401</v>
      </c>
      <c r="D15" s="1">
        <v>-2.1244851949168901E-3</v>
      </c>
      <c r="E15" s="1">
        <v>1.8764149737632401</v>
      </c>
      <c r="F15" s="1">
        <v>39.819071920000098</v>
      </c>
      <c r="G15" s="1">
        <v>2.2873004957016801E-3</v>
      </c>
      <c r="R15" s="1"/>
    </row>
    <row r="16" spans="1:19" ht="43.5" x14ac:dyDescent="0.35">
      <c r="A16" s="1" t="s">
        <v>28</v>
      </c>
      <c r="B16" s="1">
        <v>10.7723544954987</v>
      </c>
      <c r="C16" s="1">
        <v>1.3402838350850801</v>
      </c>
      <c r="D16" s="1">
        <v>-2.1554001842318199E-3</v>
      </c>
      <c r="E16" s="1">
        <v>1.8241806132930001</v>
      </c>
      <c r="F16" s="1">
        <v>39.819495773411802</v>
      </c>
      <c r="G16" s="1">
        <v>2.2873004968501798E-3</v>
      </c>
      <c r="H16" s="1"/>
      <c r="R16" s="1"/>
    </row>
    <row r="17" spans="1:8" ht="43.5" x14ac:dyDescent="0.35">
      <c r="A17" s="1" t="s">
        <v>29</v>
      </c>
      <c r="B17" s="1">
        <v>10.7080767594852</v>
      </c>
      <c r="C17" s="1">
        <v>1.3365159166318601</v>
      </c>
      <c r="D17" s="1">
        <v>-1.8917440153153201E-3</v>
      </c>
      <c r="E17" s="1">
        <v>1.8227995324550801</v>
      </c>
      <c r="F17" s="1">
        <v>39.858305990058</v>
      </c>
      <c r="G17" s="1">
        <v>2.28730049576525E-3</v>
      </c>
      <c r="H17" s="1"/>
    </row>
    <row r="18" spans="1:8" ht="43.5" x14ac:dyDescent="0.35">
      <c r="A18" s="1" t="s">
        <v>21</v>
      </c>
      <c r="B18" s="1">
        <v>10.6292015876151</v>
      </c>
      <c r="C18" s="1">
        <v>1.3414573965689001</v>
      </c>
      <c r="D18" s="1">
        <v>-2.07707466234498E-3</v>
      </c>
      <c r="E18" s="1">
        <v>1.82530270629755</v>
      </c>
      <c r="F18" s="1">
        <v>41.870614428150603</v>
      </c>
      <c r="G18" s="1">
        <v>3.6305222335351402E-3</v>
      </c>
      <c r="H18" s="1"/>
    </row>
    <row r="19" spans="1:8" ht="43.5" x14ac:dyDescent="0.35">
      <c r="A19" s="1" t="s">
        <v>22</v>
      </c>
      <c r="B19" s="1">
        <v>10.6922490647235</v>
      </c>
      <c r="C19" s="1">
        <v>1.34386559562071</v>
      </c>
      <c r="D19" s="1">
        <v>-1.9804062202936801E-3</v>
      </c>
      <c r="E19" s="1">
        <v>1.6270456127594699</v>
      </c>
      <c r="F19" s="1">
        <v>40.763976227392398</v>
      </c>
      <c r="G19" s="1">
        <v>2.62356122647078E-3</v>
      </c>
      <c r="H19" s="1"/>
    </row>
    <row r="20" spans="1:8" ht="43.5" x14ac:dyDescent="0.35">
      <c r="A20" s="1" t="s">
        <v>23</v>
      </c>
      <c r="B20" s="1">
        <v>10.661460418557301</v>
      </c>
      <c r="C20" s="1">
        <v>1.3456691808132899</v>
      </c>
      <c r="D20" s="1">
        <v>-4.3113156070661704E-3</v>
      </c>
      <c r="E20" s="1">
        <v>1.6277146520489401</v>
      </c>
      <c r="F20" s="1">
        <v>40.654441514775797</v>
      </c>
      <c r="G20" s="1">
        <v>2.2884302879102401E-3</v>
      </c>
      <c r="H20" s="1"/>
    </row>
    <row r="21" spans="1:8" x14ac:dyDescent="0.35">
      <c r="A21" s="1"/>
      <c r="B21" s="1"/>
      <c r="C21" s="1"/>
      <c r="D21" s="1"/>
      <c r="E21" s="1"/>
      <c r="F21" s="1"/>
      <c r="G21" s="1"/>
      <c r="H21" s="1"/>
    </row>
    <row r="22" spans="1:8" x14ac:dyDescent="0.35">
      <c r="A22" s="1"/>
      <c r="B22" s="1"/>
      <c r="C22" s="1"/>
      <c r="D22" s="1"/>
      <c r="E22" s="1"/>
      <c r="F22" s="1"/>
      <c r="G22" s="1"/>
    </row>
    <row r="23" spans="1:8" x14ac:dyDescent="0.35">
      <c r="A23" s="1"/>
      <c r="B23" s="1"/>
      <c r="C23" s="1"/>
      <c r="D23" s="1"/>
      <c r="E23" s="1"/>
      <c r="F23" s="1"/>
      <c r="G23" s="1"/>
    </row>
    <row r="24" spans="1:8" x14ac:dyDescent="0.35">
      <c r="A24" s="1"/>
      <c r="B24" s="1"/>
      <c r="C24" s="1"/>
      <c r="D24" s="1"/>
      <c r="E24" s="1"/>
      <c r="F24" s="1"/>
      <c r="G24" s="1"/>
    </row>
    <row r="25" spans="1:8" x14ac:dyDescent="0.35">
      <c r="A25" s="1"/>
      <c r="B25" s="1"/>
      <c r="C25" s="1"/>
      <c r="D25" s="1"/>
      <c r="E25" s="1"/>
      <c r="F25" s="1"/>
      <c r="G25" s="1"/>
    </row>
    <row r="26" spans="1:8" x14ac:dyDescent="0.35">
      <c r="A26" s="1"/>
      <c r="B26" s="1"/>
      <c r="C26" s="1"/>
      <c r="D26" s="1"/>
      <c r="E26" s="1"/>
      <c r="F26" s="1"/>
      <c r="G26" s="1"/>
    </row>
    <row r="27" spans="1:8" x14ac:dyDescent="0.35">
      <c r="A27" s="1"/>
      <c r="B27" s="1"/>
      <c r="C27" s="1"/>
      <c r="D27" s="1"/>
      <c r="E27" s="1"/>
      <c r="F27" s="1"/>
      <c r="G27" s="1"/>
    </row>
    <row r="28" spans="1:8" x14ac:dyDescent="0.35">
      <c r="A28" s="1"/>
      <c r="B28" s="1"/>
      <c r="C28" s="1"/>
      <c r="D28" s="1"/>
      <c r="E28" s="1"/>
      <c r="F28" s="1"/>
      <c r="G28" s="1"/>
    </row>
    <row r="29" spans="1:8" x14ac:dyDescent="0.35">
      <c r="A29" s="1"/>
      <c r="B29" s="1"/>
      <c r="C29" s="1"/>
      <c r="D29" s="1"/>
      <c r="E29" s="1"/>
      <c r="F29" s="1"/>
      <c r="G29" s="1"/>
    </row>
    <row r="30" spans="1:8" x14ac:dyDescent="0.35">
      <c r="A30" s="1"/>
      <c r="B30" s="1"/>
      <c r="C30" s="1"/>
      <c r="D30" s="1"/>
      <c r="E30" s="1"/>
      <c r="F30" s="1"/>
      <c r="G30" s="1"/>
    </row>
    <row r="31" spans="1:8" x14ac:dyDescent="0.35">
      <c r="A31" s="1"/>
      <c r="B31" s="1"/>
      <c r="C31" s="1"/>
      <c r="D31" s="1"/>
      <c r="E31" s="1"/>
      <c r="F31" s="1"/>
      <c r="G31" s="1"/>
    </row>
    <row r="32" spans="1:8" x14ac:dyDescent="0.35">
      <c r="A32" s="1"/>
      <c r="B32" s="1"/>
      <c r="C32" s="1"/>
      <c r="D32" s="1"/>
      <c r="E32" s="1"/>
      <c r="F32" s="1"/>
      <c r="G32" s="1"/>
    </row>
    <row r="33" spans="1:7" x14ac:dyDescent="0.35">
      <c r="A33" s="1"/>
      <c r="B33" s="1"/>
      <c r="C33" s="1"/>
      <c r="D33" s="1"/>
      <c r="E33" s="1"/>
      <c r="F33" s="1"/>
      <c r="G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646E0-737D-49FA-A2CA-7848F848076B}">
  <dimension ref="A1:T40"/>
  <sheetViews>
    <sheetView zoomScale="99" zoomScaleNormal="99" workbookViewId="0">
      <selection sqref="A1:B1048576"/>
    </sheetView>
  </sheetViews>
  <sheetFormatPr defaultRowHeight="14.5" x14ac:dyDescent="0.35"/>
  <sheetData>
    <row r="1" spans="1:20" x14ac:dyDescent="0.3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/>
      <c r="L1" s="1"/>
      <c r="M1" s="1" t="s">
        <v>0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10</v>
      </c>
    </row>
    <row r="2" spans="1:20" ht="43.5" x14ac:dyDescent="0.35">
      <c r="A2" s="1" t="s">
        <v>19</v>
      </c>
      <c r="B2" s="1">
        <v>0.17294771128421699</v>
      </c>
      <c r="C2" s="1">
        <v>1.5258946188107001</v>
      </c>
      <c r="D2" s="1">
        <v>2.93470304745342E-3</v>
      </c>
      <c r="E2" s="1">
        <v>-2.4115279182887399E-4</v>
      </c>
      <c r="F2" s="1">
        <v>3.4728580337975701</v>
      </c>
      <c r="G2" s="1">
        <v>39.603619218171801</v>
      </c>
      <c r="H2" s="1">
        <v>7.2853941162822602E-4</v>
      </c>
      <c r="L2" s="1"/>
    </row>
    <row r="3" spans="1:20" ht="43.5" x14ac:dyDescent="0.35">
      <c r="A3" s="1" t="s">
        <v>20</v>
      </c>
      <c r="B3" s="1">
        <v>0.175665485735155</v>
      </c>
      <c r="C3" s="1">
        <v>1.52602927616929</v>
      </c>
      <c r="D3" s="1">
        <v>2.3651967233015202E-3</v>
      </c>
      <c r="E3" s="1">
        <v>-1.60134972587651E-4</v>
      </c>
      <c r="F3" s="1">
        <v>3.4809228345394998</v>
      </c>
      <c r="G3" s="1">
        <v>41.599934119955698</v>
      </c>
      <c r="H3" s="1">
        <v>1.15229823951594E-3</v>
      </c>
      <c r="L3" s="1"/>
    </row>
    <row r="4" spans="1:20" ht="43.5" x14ac:dyDescent="0.35">
      <c r="A4" s="1" t="s">
        <v>31</v>
      </c>
      <c r="B4" s="1">
        <v>0.17351834771128199</v>
      </c>
      <c r="C4" s="1">
        <v>1.5264782997959701</v>
      </c>
      <c r="D4" s="1">
        <v>2.10962357084907E-3</v>
      </c>
      <c r="E4" s="1">
        <v>-1.2315329262803799E-4</v>
      </c>
      <c r="F4" s="1">
        <v>3.47230704551309</v>
      </c>
      <c r="G4" s="1">
        <v>39.814207589544701</v>
      </c>
      <c r="H4" s="1">
        <v>5.84829964132661E-4</v>
      </c>
    </row>
    <row r="5" spans="1:20" ht="43.5" x14ac:dyDescent="0.35">
      <c r="A5" s="1" t="s">
        <v>11</v>
      </c>
      <c r="B5" s="1">
        <v>0.17382778027635701</v>
      </c>
      <c r="C5" s="1">
        <v>1.5266411905308599</v>
      </c>
      <c r="D5" s="1">
        <v>2.0861805235716799E-3</v>
      </c>
      <c r="E5" s="1">
        <v>-1.2890988211342801E-4</v>
      </c>
      <c r="F5" s="1">
        <v>3.4752832307887198</v>
      </c>
      <c r="G5" s="1">
        <v>41.674322587351398</v>
      </c>
      <c r="H5" s="1">
        <v>9.1343413226320296E-4</v>
      </c>
    </row>
    <row r="6" spans="1:20" ht="43.5" x14ac:dyDescent="0.35">
      <c r="A6" s="1" t="s">
        <v>12</v>
      </c>
      <c r="B6" s="1">
        <v>0.17455983570099701</v>
      </c>
      <c r="C6" s="1">
        <v>1.5268369959289501</v>
      </c>
      <c r="D6" s="1">
        <v>2.5359298199264298E-3</v>
      </c>
      <c r="E6" s="1">
        <v>-2.09034019083978E-4</v>
      </c>
      <c r="F6" s="1">
        <v>3.22839340597214</v>
      </c>
      <c r="G6" s="1">
        <v>41.661538184660699</v>
      </c>
      <c r="H6" s="1">
        <v>1.1443235717986599E-3</v>
      </c>
    </row>
    <row r="7" spans="1:20" ht="43.5" x14ac:dyDescent="0.35">
      <c r="A7" s="1" t="s">
        <v>13</v>
      </c>
      <c r="B7" s="1">
        <v>0.17664296551393399</v>
      </c>
      <c r="C7" s="1">
        <v>1.52707599137846</v>
      </c>
      <c r="D7" s="1">
        <v>1.8481463977159699E-3</v>
      </c>
      <c r="E7" s="1">
        <v>-1.11152690654579E-4</v>
      </c>
      <c r="F7" s="1">
        <v>3.22483372112002</v>
      </c>
      <c r="G7" s="1">
        <v>41.677466946461699</v>
      </c>
      <c r="H7" s="1">
        <v>5.7927305713437204E-4</v>
      </c>
      <c r="I7" s="1"/>
      <c r="J7" s="1"/>
      <c r="K7" s="1"/>
      <c r="L7" s="1"/>
      <c r="M7" s="1"/>
      <c r="N7" s="1"/>
      <c r="O7" s="1"/>
      <c r="P7" s="1"/>
    </row>
    <row r="8" spans="1:20" ht="43.5" x14ac:dyDescent="0.35">
      <c r="A8" s="1" t="s">
        <v>30</v>
      </c>
      <c r="B8" s="1">
        <v>0.17911658675275099</v>
      </c>
      <c r="C8" s="1">
        <v>1.52590312302192</v>
      </c>
      <c r="D8" s="1">
        <v>2.1405898338959302E-3</v>
      </c>
      <c r="E8" s="1">
        <v>-1.3373961353737001E-4</v>
      </c>
      <c r="F8" s="1">
        <v>3.2316196338260301</v>
      </c>
      <c r="G8" s="1">
        <v>41.294608344140798</v>
      </c>
      <c r="H8" s="1">
        <v>7.7386612138828496E-4</v>
      </c>
    </row>
    <row r="9" spans="1:20" ht="43.5" x14ac:dyDescent="0.35">
      <c r="A9" s="1" t="s">
        <v>14</v>
      </c>
      <c r="B9" s="1">
        <v>0.17708531560420199</v>
      </c>
      <c r="C9" s="1">
        <v>1.52571235644967</v>
      </c>
      <c r="D9" s="1">
        <v>2.23413251859347E-3</v>
      </c>
      <c r="E9" s="1">
        <v>-1.43621690244121E-4</v>
      </c>
      <c r="F9" s="1">
        <v>3.221533088288</v>
      </c>
      <c r="G9" s="1">
        <v>41.640814088544403</v>
      </c>
      <c r="H9" s="1">
        <v>1.03044844816607E-3</v>
      </c>
    </row>
    <row r="10" spans="1:20" ht="43.5" x14ac:dyDescent="0.35">
      <c r="A10" s="1" t="s">
        <v>15</v>
      </c>
      <c r="B10" s="1">
        <v>0.17557573140333699</v>
      </c>
      <c r="C10" s="1">
        <v>1.5256031612350001</v>
      </c>
      <c r="D10" s="1">
        <v>2.3423075315198499E-3</v>
      </c>
      <c r="E10" s="1">
        <v>-1.3136327272120999E-4</v>
      </c>
      <c r="F10" s="1">
        <v>3.2255389534595502</v>
      </c>
      <c r="G10" s="1">
        <v>39.791522638672198</v>
      </c>
      <c r="H10" s="1">
        <v>5.7858075038553895E-4</v>
      </c>
    </row>
    <row r="11" spans="1:20" ht="43.5" x14ac:dyDescent="0.35">
      <c r="A11" s="1" t="s">
        <v>16</v>
      </c>
      <c r="B11" s="1">
        <v>0.173457649972002</v>
      </c>
      <c r="C11" s="1">
        <v>1.52582073829446</v>
      </c>
      <c r="D11" s="1">
        <v>2.5957042856930698E-3</v>
      </c>
      <c r="E11" s="1">
        <v>-1.8167299551369499E-4</v>
      </c>
      <c r="F11" s="1">
        <v>3.2292310330669598</v>
      </c>
      <c r="G11" s="1">
        <v>39.737276692617399</v>
      </c>
      <c r="H11" s="1">
        <v>5.7859237366109898E-4</v>
      </c>
    </row>
    <row r="12" spans="1:20" ht="43.5" x14ac:dyDescent="0.35">
      <c r="A12" s="1" t="s">
        <v>17</v>
      </c>
      <c r="B12" s="1">
        <v>0.17535865105134299</v>
      </c>
      <c r="C12" s="1">
        <v>1.52604552063201</v>
      </c>
      <c r="D12" s="1">
        <v>2.4082386211540098E-3</v>
      </c>
      <c r="E12" s="1">
        <v>-1.6246359114856199E-4</v>
      </c>
      <c r="F12" s="1">
        <v>3.2318057917797298</v>
      </c>
      <c r="G12" s="1">
        <v>41.532831749555797</v>
      </c>
      <c r="H12" s="1">
        <v>1.0438110291910599E-3</v>
      </c>
    </row>
    <row r="13" spans="1:20" ht="43.5" x14ac:dyDescent="0.35">
      <c r="A13" s="1" t="s">
        <v>18</v>
      </c>
      <c r="B13" s="1">
        <v>0.175039518424147</v>
      </c>
      <c r="C13" s="1">
        <v>1.5255164701892101</v>
      </c>
      <c r="D13" s="1">
        <v>2.4968128386419499E-3</v>
      </c>
      <c r="E13" s="1">
        <v>-1.3772696124573399E-4</v>
      </c>
      <c r="F13" s="1">
        <v>3.4854549626467901</v>
      </c>
      <c r="G13" s="1">
        <v>39.874060508218598</v>
      </c>
      <c r="H13" s="1">
        <v>5.8354202997727895E-4</v>
      </c>
    </row>
    <row r="14" spans="1:20" ht="43.5" x14ac:dyDescent="0.35">
      <c r="A14" s="1" t="s">
        <v>24</v>
      </c>
      <c r="B14" s="1">
        <v>0.17459939950666101</v>
      </c>
      <c r="C14" s="1">
        <v>1.5264746872922701</v>
      </c>
      <c r="D14" s="1">
        <v>2.2733683994961402E-3</v>
      </c>
      <c r="E14" s="1">
        <v>-1.3267253122294101E-4</v>
      </c>
      <c r="F14" s="1">
        <v>2.97437144919859</v>
      </c>
      <c r="G14" s="1">
        <v>41.814617919619302</v>
      </c>
      <c r="H14" s="1">
        <v>1.1571538680334901E-3</v>
      </c>
    </row>
    <row r="15" spans="1:20" ht="43.5" x14ac:dyDescent="0.35">
      <c r="A15" s="1" t="s">
        <v>25</v>
      </c>
      <c r="B15" s="1">
        <v>0.17177387798819599</v>
      </c>
      <c r="C15" s="1">
        <v>1.5246614334694599</v>
      </c>
      <c r="D15" s="1">
        <v>2.9341721304828798E-3</v>
      </c>
      <c r="E15" s="1">
        <v>-1.92655797968772E-4</v>
      </c>
      <c r="F15" s="1">
        <v>3.2305514276304002</v>
      </c>
      <c r="G15" s="1">
        <v>39.777724051620403</v>
      </c>
      <c r="H15" s="1">
        <v>6.1154526635159097E-4</v>
      </c>
    </row>
    <row r="16" spans="1:20" ht="43.5" x14ac:dyDescent="0.35">
      <c r="A16" s="1" t="s">
        <v>26</v>
      </c>
      <c r="B16" s="1">
        <v>0.172049396498035</v>
      </c>
      <c r="C16" s="1">
        <v>1.5286682224238599</v>
      </c>
      <c r="D16" s="1">
        <v>1.9529242764353401E-3</v>
      </c>
      <c r="E16" s="1">
        <v>-1.07462871268083E-4</v>
      </c>
      <c r="F16" s="1">
        <v>1.18672795132277</v>
      </c>
      <c r="G16" s="1">
        <v>39.794145578950399</v>
      </c>
      <c r="H16" s="1">
        <v>6.4681620991665202E-4</v>
      </c>
    </row>
    <row r="17" spans="1:8" ht="43.5" x14ac:dyDescent="0.35">
      <c r="A17" s="1" t="s">
        <v>27</v>
      </c>
      <c r="B17" s="1">
        <v>0.17416028353340501</v>
      </c>
      <c r="C17" s="1">
        <v>1.5253155021584399</v>
      </c>
      <c r="D17" s="1">
        <v>2.6265717017228802E-3</v>
      </c>
      <c r="E17" s="1">
        <v>-1.66094854505413E-4</v>
      </c>
      <c r="F17" s="1">
        <v>2.9388204893912202</v>
      </c>
      <c r="G17" s="1">
        <v>40.5729767212759</v>
      </c>
      <c r="H17" s="1">
        <v>1.15673502027382E-3</v>
      </c>
    </row>
    <row r="18" spans="1:8" ht="43.5" x14ac:dyDescent="0.35">
      <c r="A18" s="1" t="s">
        <v>28</v>
      </c>
      <c r="B18" s="1">
        <v>0.17432866559164001</v>
      </c>
      <c r="C18" s="1">
        <v>1.5235696375414101</v>
      </c>
      <c r="D18" s="1">
        <v>2.7538466370875801E-3</v>
      </c>
      <c r="E18" s="1">
        <v>-1.4187323315291599E-4</v>
      </c>
      <c r="F18" s="1">
        <v>3.22583424219268</v>
      </c>
      <c r="G18" s="1">
        <v>39.958510039538602</v>
      </c>
      <c r="H18" s="1">
        <v>6.1984994197235202E-4</v>
      </c>
    </row>
    <row r="19" spans="1:8" ht="43.5" x14ac:dyDescent="0.35">
      <c r="A19" s="1" t="s">
        <v>29</v>
      </c>
      <c r="B19" s="1">
        <v>0.17371638201273101</v>
      </c>
      <c r="C19" s="1">
        <v>1.52270249893995</v>
      </c>
      <c r="D19" s="1">
        <v>2.6600085455945502E-3</v>
      </c>
      <c r="E19" s="1">
        <v>-1.3186491392954799E-4</v>
      </c>
      <c r="F19" s="1">
        <v>3.2314005443395502</v>
      </c>
      <c r="G19" s="1">
        <v>39.831717800921901</v>
      </c>
      <c r="H19" s="1">
        <v>5.7865793714870998E-4</v>
      </c>
    </row>
    <row r="20" spans="1:8" ht="43.5" x14ac:dyDescent="0.35">
      <c r="A20" s="1" t="s">
        <v>21</v>
      </c>
      <c r="B20" s="1">
        <v>0.17123203171632401</v>
      </c>
      <c r="C20" s="1">
        <v>1.52297113854633</v>
      </c>
      <c r="D20" s="1">
        <v>2.8402938359539799E-3</v>
      </c>
      <c r="E20" s="1">
        <v>-1.9399700055577199E-4</v>
      </c>
      <c r="F20" s="1">
        <v>2.7255773262060798</v>
      </c>
      <c r="G20" s="1">
        <v>39.871176595446798</v>
      </c>
      <c r="H20" s="1">
        <v>6.5253224888675598E-4</v>
      </c>
    </row>
    <row r="21" spans="1:8" ht="43.5" x14ac:dyDescent="0.35">
      <c r="A21" s="1" t="s">
        <v>22</v>
      </c>
      <c r="B21" s="1">
        <v>0.17318569822136001</v>
      </c>
      <c r="C21" s="1">
        <v>1.5246824653037701</v>
      </c>
      <c r="D21" s="1">
        <v>2.74508792314837E-3</v>
      </c>
      <c r="E21" s="1">
        <v>-1.7385320046513201E-4</v>
      </c>
      <c r="F21" s="1">
        <v>2.7304507263117501</v>
      </c>
      <c r="G21" s="1">
        <v>39.975526733816402</v>
      </c>
      <c r="H21" s="1">
        <v>6.2448431112533103E-4</v>
      </c>
    </row>
    <row r="22" spans="1:8" ht="43.5" x14ac:dyDescent="0.35">
      <c r="A22" s="1" t="s">
        <v>23</v>
      </c>
      <c r="B22" s="1">
        <v>0.17669669700448201</v>
      </c>
      <c r="C22" s="1">
        <v>1.52402119569984</v>
      </c>
      <c r="D22" s="1">
        <v>2.93125722269775E-3</v>
      </c>
      <c r="E22" s="1">
        <v>-1.8042694952051999E-4</v>
      </c>
      <c r="F22" s="1">
        <v>2.7344301249166398</v>
      </c>
      <c r="G22" s="1">
        <v>39.993956579034297</v>
      </c>
      <c r="H22" s="1">
        <v>5.8045058441543004E-4</v>
      </c>
    </row>
    <row r="23" spans="1:8" x14ac:dyDescent="0.35">
      <c r="A23" s="1"/>
      <c r="B23" s="1"/>
      <c r="C23" s="1"/>
      <c r="D23" s="1"/>
      <c r="E23" s="1"/>
      <c r="F23" s="1"/>
      <c r="G23" s="1"/>
      <c r="H23" s="1"/>
    </row>
    <row r="24" spans="1:8" x14ac:dyDescent="0.35">
      <c r="A24" s="1"/>
      <c r="B24" s="1"/>
      <c r="C24" s="1"/>
      <c r="D24" s="1"/>
      <c r="E24" s="2"/>
      <c r="F24" s="1"/>
      <c r="G24" s="1"/>
      <c r="H24" s="1"/>
    </row>
    <row r="25" spans="1:8" x14ac:dyDescent="0.35">
      <c r="A25" s="1"/>
      <c r="B25" s="1"/>
      <c r="C25" s="1"/>
      <c r="D25" s="2"/>
      <c r="E25" s="2"/>
      <c r="F25" s="1"/>
      <c r="G25" s="1"/>
      <c r="H25" s="1"/>
    </row>
    <row r="26" spans="1:8" x14ac:dyDescent="0.35">
      <c r="A26" s="1"/>
      <c r="B26" s="1"/>
      <c r="C26" s="1"/>
      <c r="D26" s="1"/>
      <c r="E26" s="2"/>
      <c r="F26" s="1"/>
      <c r="G26" s="1"/>
      <c r="H26" s="1"/>
    </row>
    <row r="27" spans="1:8" x14ac:dyDescent="0.35">
      <c r="A27" s="1"/>
      <c r="B27" s="1"/>
      <c r="C27" s="1"/>
      <c r="D27" s="1"/>
      <c r="E27" s="2"/>
      <c r="F27" s="1"/>
      <c r="G27" s="1"/>
      <c r="H27" s="1"/>
    </row>
    <row r="28" spans="1:8" x14ac:dyDescent="0.35">
      <c r="A28" s="1"/>
      <c r="B28" s="1"/>
      <c r="C28" s="1"/>
      <c r="D28" s="1"/>
      <c r="E28" s="2"/>
      <c r="F28" s="1"/>
      <c r="G28" s="1"/>
      <c r="H28" s="1"/>
    </row>
    <row r="29" spans="1:8" x14ac:dyDescent="0.35">
      <c r="A29" s="1"/>
      <c r="B29" s="1"/>
      <c r="C29" s="1"/>
      <c r="D29" s="1"/>
      <c r="E29" s="2"/>
      <c r="F29" s="1"/>
      <c r="G29" s="1"/>
      <c r="H29" s="1"/>
    </row>
    <row r="30" spans="1:8" x14ac:dyDescent="0.35">
      <c r="A30" s="1"/>
      <c r="B30" s="1"/>
      <c r="C30" s="1"/>
      <c r="D30" s="1"/>
      <c r="E30" s="2"/>
      <c r="F30" s="1"/>
      <c r="G30" s="1"/>
      <c r="H30" s="1"/>
    </row>
    <row r="31" spans="1:8" x14ac:dyDescent="0.35">
      <c r="A31" s="1"/>
      <c r="B31" s="1"/>
      <c r="C31" s="1"/>
      <c r="D31" s="1"/>
      <c r="E31" s="2"/>
      <c r="F31" s="1"/>
      <c r="G31" s="1"/>
      <c r="H31" s="1"/>
    </row>
    <row r="32" spans="1:8" x14ac:dyDescent="0.35">
      <c r="A32" s="1"/>
      <c r="B32" s="1"/>
      <c r="C32" s="1"/>
      <c r="D32" s="1"/>
      <c r="E32" s="2"/>
      <c r="F32" s="1"/>
      <c r="G32" s="1"/>
      <c r="H32" s="1"/>
    </row>
    <row r="33" spans="1:8" x14ac:dyDescent="0.35">
      <c r="A33" s="1"/>
      <c r="B33" s="1"/>
      <c r="C33" s="1"/>
      <c r="D33" s="1"/>
      <c r="E33" s="2"/>
      <c r="F33" s="1"/>
      <c r="G33" s="1"/>
      <c r="H33" s="1"/>
    </row>
    <row r="34" spans="1:8" x14ac:dyDescent="0.35">
      <c r="A34" s="1"/>
      <c r="B34" s="1"/>
      <c r="C34" s="1"/>
      <c r="D34" s="1"/>
      <c r="E34" s="2"/>
      <c r="F34" s="1"/>
      <c r="G34" s="1"/>
      <c r="H34" s="1"/>
    </row>
    <row r="35" spans="1:8" x14ac:dyDescent="0.35">
      <c r="A35" s="1"/>
      <c r="B35" s="1"/>
      <c r="C35" s="1"/>
      <c r="D35" s="1"/>
      <c r="E35" s="2"/>
      <c r="F35" s="1"/>
      <c r="G35" s="1"/>
      <c r="H35" s="1"/>
    </row>
    <row r="36" spans="1:8" x14ac:dyDescent="0.35">
      <c r="A36" s="1"/>
      <c r="B36" s="1"/>
      <c r="C36" s="1"/>
      <c r="D36" s="1"/>
      <c r="E36" s="2"/>
      <c r="F36" s="1"/>
      <c r="G36" s="1"/>
      <c r="H36" s="1"/>
    </row>
    <row r="37" spans="1:8" x14ac:dyDescent="0.35">
      <c r="A37" s="1"/>
      <c r="B37" s="1"/>
      <c r="C37" s="1"/>
      <c r="D37" s="1"/>
      <c r="E37" s="2"/>
      <c r="F37" s="1"/>
      <c r="G37" s="1"/>
      <c r="H37" s="1"/>
    </row>
    <row r="38" spans="1:8" x14ac:dyDescent="0.35">
      <c r="A38" s="1"/>
      <c r="B38" s="1"/>
      <c r="C38" s="1"/>
      <c r="D38" s="1"/>
      <c r="E38" s="2"/>
      <c r="F38" s="1"/>
      <c r="G38" s="1"/>
      <c r="H38" s="1"/>
    </row>
    <row r="39" spans="1:8" x14ac:dyDescent="0.35">
      <c r="A39" s="1"/>
      <c r="B39" s="1"/>
      <c r="C39" s="1"/>
      <c r="D39" s="1"/>
      <c r="E39" s="2"/>
      <c r="F39" s="1"/>
      <c r="G39" s="1"/>
      <c r="H39" s="1"/>
    </row>
    <row r="40" spans="1:8" x14ac:dyDescent="0.35">
      <c r="A40" s="1"/>
      <c r="B40" s="1"/>
      <c r="C40" s="1"/>
      <c r="D40" s="2"/>
      <c r="E40" s="2"/>
      <c r="F40" s="1"/>
      <c r="G40" s="1"/>
      <c r="H4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CB368-1F4F-4C65-B86B-93EC676CB77B}">
  <dimension ref="A1:G38"/>
  <sheetViews>
    <sheetView tabSelected="1" workbookViewId="0">
      <selection activeCell="A2" sqref="A2:C20"/>
    </sheetView>
  </sheetViews>
  <sheetFormatPr defaultRowHeight="14.5" x14ac:dyDescent="0.35"/>
  <cols>
    <col min="5" max="5" width="16.7265625" customWidth="1"/>
  </cols>
  <sheetData>
    <row r="1" spans="1:7" x14ac:dyDescent="0.35">
      <c r="A1" s="1" t="s">
        <v>0</v>
      </c>
      <c r="B1" s="1" t="s">
        <v>4</v>
      </c>
      <c r="C1" s="1" t="s">
        <v>4</v>
      </c>
    </row>
    <row r="2" spans="1:7" ht="43.5" x14ac:dyDescent="0.35">
      <c r="A2" s="1" t="s">
        <v>19</v>
      </c>
      <c r="B2" s="1">
        <v>10.6515835159838</v>
      </c>
      <c r="C2" s="1">
        <v>0.17294771128421699</v>
      </c>
      <c r="F2">
        <v>894</v>
      </c>
      <c r="G2">
        <v>456</v>
      </c>
    </row>
    <row r="3" spans="1:7" ht="43.5" x14ac:dyDescent="0.35">
      <c r="A3" s="1" t="s">
        <v>20</v>
      </c>
      <c r="B3" s="1">
        <v>10.663341069103801</v>
      </c>
      <c r="C3" s="1">
        <v>0.175665485735155</v>
      </c>
      <c r="E3" t="s">
        <v>1</v>
      </c>
      <c r="F3">
        <f>AVERAGE(B2:B33)</f>
        <v>10.68072802462834</v>
      </c>
      <c r="G3">
        <f>AVERAGE(C2:C33)</f>
        <v>0.17431068826518553</v>
      </c>
    </row>
    <row r="4" spans="1:7" ht="43.5" x14ac:dyDescent="0.35">
      <c r="A4" s="1" t="s">
        <v>11</v>
      </c>
      <c r="B4" s="1">
        <v>10.720671290806401</v>
      </c>
      <c r="C4" s="1">
        <v>0.17382778027635701</v>
      </c>
      <c r="E4" t="s">
        <v>2</v>
      </c>
      <c r="F4">
        <f>_xlfn.STDEV.S(B2:B33)</f>
        <v>8.2470484310234557E-2</v>
      </c>
      <c r="G4">
        <f>_xlfn.STDEV.S(C2:C33)</f>
        <v>1.6587992824535032E-3</v>
      </c>
    </row>
    <row r="5" spans="1:7" ht="43.5" x14ac:dyDescent="0.35">
      <c r="A5" s="1" t="s">
        <v>12</v>
      </c>
      <c r="B5" s="1">
        <v>10.6070403098376</v>
      </c>
      <c r="C5" s="1">
        <v>0.17455983570099701</v>
      </c>
      <c r="E5" t="s">
        <v>3</v>
      </c>
      <c r="F5">
        <f>F4/F3/SQRT(COUNT(B2:B33))</f>
        <v>1.7714173263345008E-3</v>
      </c>
      <c r="G5">
        <f>G4/G3/SQRT(COUNT(C2:C33))</f>
        <v>2.1831974763881334E-3</v>
      </c>
    </row>
    <row r="6" spans="1:7" ht="43.5" x14ac:dyDescent="0.35">
      <c r="A6" s="1" t="s">
        <v>13</v>
      </c>
      <c r="B6" s="1">
        <v>10.607916558495299</v>
      </c>
      <c r="C6" s="1">
        <v>0.17664296551393399</v>
      </c>
    </row>
    <row r="7" spans="1:7" ht="43.5" x14ac:dyDescent="0.35">
      <c r="A7" s="1" t="s">
        <v>14</v>
      </c>
      <c r="B7" s="1">
        <v>10.796548325563</v>
      </c>
      <c r="C7" s="1">
        <v>0.17708531560420199</v>
      </c>
    </row>
    <row r="8" spans="1:7" ht="43.5" x14ac:dyDescent="0.35">
      <c r="A8" s="1" t="s">
        <v>15</v>
      </c>
      <c r="B8" s="1">
        <v>10.8409786177823</v>
      </c>
      <c r="C8" s="1">
        <v>0.17557573140333699</v>
      </c>
    </row>
    <row r="9" spans="1:7" ht="43.5" x14ac:dyDescent="0.35">
      <c r="A9" s="1" t="s">
        <v>16</v>
      </c>
      <c r="B9" s="1">
        <v>10.772956842649499</v>
      </c>
      <c r="C9" s="1">
        <v>0.173457649972002</v>
      </c>
    </row>
    <row r="10" spans="1:7" ht="43.5" x14ac:dyDescent="0.35">
      <c r="A10" s="1" t="s">
        <v>17</v>
      </c>
      <c r="B10" s="1">
        <v>10.6830303352735</v>
      </c>
      <c r="C10" s="1">
        <v>0.17535865105134299</v>
      </c>
    </row>
    <row r="11" spans="1:7" ht="43.5" x14ac:dyDescent="0.35">
      <c r="A11" s="1" t="s">
        <v>18</v>
      </c>
      <c r="B11" s="1">
        <v>10.585364148466899</v>
      </c>
      <c r="C11" s="1">
        <v>0.175039518424147</v>
      </c>
    </row>
    <row r="12" spans="1:7" ht="43.5" x14ac:dyDescent="0.35">
      <c r="A12" s="1" t="s">
        <v>24</v>
      </c>
      <c r="B12" s="1">
        <v>10.5286364956397</v>
      </c>
      <c r="C12" s="1">
        <v>0.17459939950666101</v>
      </c>
    </row>
    <row r="13" spans="1:7" ht="43.5" x14ac:dyDescent="0.35">
      <c r="A13" s="1" t="s">
        <v>25</v>
      </c>
      <c r="B13" s="1">
        <v>10.6204309820713</v>
      </c>
      <c r="C13" s="1">
        <v>0.17177387798819599</v>
      </c>
    </row>
    <row r="14" spans="1:7" ht="43.5" x14ac:dyDescent="0.35">
      <c r="A14" s="1" t="s">
        <v>26</v>
      </c>
      <c r="B14" s="1">
        <v>10.6162779389606</v>
      </c>
      <c r="C14" s="1">
        <v>0.172049396498035</v>
      </c>
    </row>
    <row r="15" spans="1:7" ht="43.5" x14ac:dyDescent="0.35">
      <c r="A15" s="1" t="s">
        <v>27</v>
      </c>
      <c r="B15" s="1">
        <v>10.775713711424901</v>
      </c>
      <c r="C15" s="1">
        <v>0.17416028353340501</v>
      </c>
    </row>
    <row r="16" spans="1:7" ht="43.5" x14ac:dyDescent="0.35">
      <c r="A16" s="1" t="s">
        <v>28</v>
      </c>
      <c r="B16" s="1">
        <v>10.7723544954987</v>
      </c>
      <c r="C16" s="1">
        <v>0.17432866559164001</v>
      </c>
    </row>
    <row r="17" spans="1:3" ht="43.5" x14ac:dyDescent="0.35">
      <c r="A17" s="1" t="s">
        <v>29</v>
      </c>
      <c r="B17" s="1">
        <v>10.7080767594852</v>
      </c>
      <c r="C17" s="1">
        <v>0.17371638201273101</v>
      </c>
    </row>
    <row r="18" spans="1:3" ht="43.5" x14ac:dyDescent="0.35">
      <c r="A18" s="1" t="s">
        <v>21</v>
      </c>
      <c r="B18" s="1">
        <v>10.6292015876151</v>
      </c>
      <c r="C18" s="1">
        <v>0.17123203171632401</v>
      </c>
    </row>
    <row r="19" spans="1:3" ht="43.5" x14ac:dyDescent="0.35">
      <c r="A19" s="1" t="s">
        <v>22</v>
      </c>
      <c r="B19" s="1">
        <v>10.6922490647235</v>
      </c>
      <c r="C19" s="1">
        <v>0.17318569822136001</v>
      </c>
    </row>
    <row r="20" spans="1:3" ht="43.5" x14ac:dyDescent="0.35">
      <c r="A20" s="1" t="s">
        <v>23</v>
      </c>
      <c r="B20" s="1">
        <v>10.661460418557301</v>
      </c>
      <c r="C20" s="1">
        <v>0.17669669700448201</v>
      </c>
    </row>
    <row r="21" spans="1:3" x14ac:dyDescent="0.35">
      <c r="A21" s="1"/>
      <c r="B21" s="1"/>
      <c r="C21" s="1"/>
    </row>
    <row r="22" spans="1:3" x14ac:dyDescent="0.35">
      <c r="A22" s="1"/>
      <c r="B22" s="1"/>
      <c r="C22" s="1"/>
    </row>
    <row r="23" spans="1:3" x14ac:dyDescent="0.35">
      <c r="A23" s="1"/>
      <c r="B23" s="1"/>
      <c r="C23" s="1"/>
    </row>
    <row r="24" spans="1:3" x14ac:dyDescent="0.35">
      <c r="A24" s="1"/>
      <c r="B24" s="1"/>
      <c r="C24" s="1"/>
    </row>
    <row r="25" spans="1:3" x14ac:dyDescent="0.35">
      <c r="A25" s="1"/>
      <c r="B25" s="1"/>
      <c r="C25" s="1"/>
    </row>
    <row r="26" spans="1:3" x14ac:dyDescent="0.35">
      <c r="A26" s="1"/>
      <c r="B26" s="1"/>
      <c r="C26" s="1"/>
    </row>
    <row r="27" spans="1:3" x14ac:dyDescent="0.35">
      <c r="A27" s="1"/>
      <c r="B27" s="1"/>
      <c r="C27" s="1"/>
    </row>
    <row r="28" spans="1:3" x14ac:dyDescent="0.35">
      <c r="A28" s="1"/>
      <c r="B28" s="1"/>
      <c r="C28" s="1"/>
    </row>
    <row r="29" spans="1:3" x14ac:dyDescent="0.35">
      <c r="A29" s="1"/>
      <c r="B29" s="1"/>
      <c r="C29" s="1"/>
    </row>
    <row r="30" spans="1:3" x14ac:dyDescent="0.35">
      <c r="A30" s="1"/>
      <c r="B30" s="1"/>
      <c r="C30" s="1"/>
    </row>
    <row r="31" spans="1:3" x14ac:dyDescent="0.35">
      <c r="A31" s="1"/>
      <c r="B31" s="1"/>
      <c r="C31" s="1"/>
    </row>
    <row r="32" spans="1:3" x14ac:dyDescent="0.35">
      <c r="A32" s="1"/>
      <c r="B32" s="1"/>
      <c r="C32" s="1"/>
    </row>
    <row r="33" spans="1:3" x14ac:dyDescent="0.35">
      <c r="A33" s="1"/>
      <c r="B33" s="1"/>
      <c r="C33" s="1"/>
    </row>
    <row r="34" spans="1:3" x14ac:dyDescent="0.35">
      <c r="C34" s="1"/>
    </row>
    <row r="35" spans="1:3" x14ac:dyDescent="0.35">
      <c r="C35" s="1"/>
    </row>
    <row r="36" spans="1:3" x14ac:dyDescent="0.35">
      <c r="C36" s="1"/>
    </row>
    <row r="37" spans="1:3" x14ac:dyDescent="0.35">
      <c r="C37" s="1"/>
    </row>
    <row r="38" spans="1:3" x14ac:dyDescent="0.35">
      <c r="C3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894</vt:lpstr>
      <vt:lpstr>456</vt:lpstr>
      <vt:lpstr>AbsCoef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Garcia</dc:creator>
  <cp:lastModifiedBy>Diego Garcia</cp:lastModifiedBy>
  <dcterms:created xsi:type="dcterms:W3CDTF">2026-06-24T14:26:48Z</dcterms:created>
  <dcterms:modified xsi:type="dcterms:W3CDTF">2026-06-27T04:51:39Z</dcterms:modified>
</cp:coreProperties>
</file>