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lfwalker\Documents\git\6s7p\BeatnotePostHotCell\Jun18,2026\"/>
    </mc:Choice>
  </mc:AlternateContent>
  <xr:revisionPtr revIDLastSave="0" documentId="13_ncr:1_{4F7D0DF0-DBC1-4FD5-929A-8B3B69962DF7}" xr6:coauthVersionLast="47" xr6:coauthVersionMax="47" xr10:uidLastSave="{00000000-0000-0000-0000-000000000000}"/>
  <bookViews>
    <workbookView xWindow="-110" yWindow="-110" windowWidth="38620" windowHeight="21100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3" l="1"/>
  <c r="G4" i="3"/>
  <c r="G5" i="3"/>
  <c r="F3" i="3"/>
  <c r="F4" i="3"/>
  <c r="F5" i="3" l="1"/>
</calcChain>
</file>

<file path=xl/sharedStrings.xml><?xml version="1.0" encoding="utf-8"?>
<sst xmlns="http://schemas.openxmlformats.org/spreadsheetml/2006/main" count="67" uniqueCount="26">
  <si>
    <t>Date</t>
  </si>
  <si>
    <t>Mean</t>
  </si>
  <si>
    <t>STD</t>
  </si>
  <si>
    <t>Mean/std/sqrt(n)</t>
  </si>
  <si>
    <t>Alpha</t>
  </si>
  <si>
    <t>P0</t>
  </si>
  <si>
    <t>h1</t>
  </si>
  <si>
    <t>mv</t>
  </si>
  <si>
    <t>T</t>
  </si>
  <si>
    <t>gamma</t>
  </si>
  <si>
    <t>offset</t>
  </si>
  <si>
    <t>Jun18,2026+10-04-58AM</t>
  </si>
  <si>
    <t>Jun18,2026+10-31-14AM</t>
  </si>
  <si>
    <t>Jun18,2026+10-39-42AM</t>
  </si>
  <si>
    <t>Jun18,2026+10-47-43AM</t>
  </si>
  <si>
    <t>Jun18,2026+10-55-36AM</t>
  </si>
  <si>
    <t>Jun18,2026+11-03-37AM</t>
  </si>
  <si>
    <t>Jun18,2026+11-17-55AM</t>
  </si>
  <si>
    <t>Jun18,2026+11-32-25AM</t>
  </si>
  <si>
    <t>Jun18,2026+11-45-34AM</t>
  </si>
  <si>
    <t>Jun18,2026+11-53-43AM</t>
  </si>
  <si>
    <t>Jun18,2026+12-01-47PM</t>
  </si>
  <si>
    <t>Jun18,2026+12-09-41PM</t>
  </si>
  <si>
    <t>Jun18,2026+12-21-00PM</t>
  </si>
  <si>
    <t>Jun18,2026+12-46-35PM</t>
  </si>
  <si>
    <t>Jun18,2026+12-55-57PM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</si>
</sst>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T33"/>
  <sheetViews>
    <sheetView workbookViewId="0">
      <selection sqref="A1:B1048576"/>
    </sheetView>
  </sheetViews>
  <sheetFormatPr defaultRowHeight="14.5" x14ac:dyDescent="0.35"/>
  <sheetData>
    <row r="1" spans="1:20" x14ac:dyDescent="0.3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43.5" x14ac:dyDescent="0.35">
      <c r="A2" s="1" t="s">
        <v>11</v>
      </c>
      <c r="B2" s="1">
        <v>10.794234615893799</v>
      </c>
      <c r="C2" s="1">
        <v>1.34568780000979</v>
      </c>
      <c r="D2" s="1">
        <v>-2.3842246028758199E-3</v>
      </c>
      <c r="E2" s="1">
        <v>1.8273017952141399</v>
      </c>
      <c r="F2" s="1">
        <v>39.2240886100059</v>
      </c>
      <c r="G2" s="1">
        <v>2.28730049570141E-3</v>
      </c>
      <c r="H2" s="1"/>
      <c r="L2" s="1"/>
      <c r="T2" s="1"/>
    </row>
    <row r="3" spans="1:20" ht="43.5" x14ac:dyDescent="0.35">
      <c r="A3" s="1" t="s">
        <v>12</v>
      </c>
      <c r="B3" s="1">
        <v>10.8450661689269</v>
      </c>
      <c r="C3" s="1">
        <v>1.3361121167593</v>
      </c>
      <c r="D3" s="1">
        <v>-1.58209187027645E-3</v>
      </c>
      <c r="E3" s="1">
        <v>1.8773655585854401</v>
      </c>
      <c r="F3" s="1">
        <v>39.309834130168298</v>
      </c>
      <c r="G3" s="1">
        <v>2.2873004957108299E-3</v>
      </c>
      <c r="H3" s="1"/>
      <c r="T3" s="1"/>
    </row>
    <row r="4" spans="1:20" ht="43.5" x14ac:dyDescent="0.35">
      <c r="A4" s="1" t="s">
        <v>13</v>
      </c>
      <c r="B4" s="1">
        <v>10.7513220521733</v>
      </c>
      <c r="C4" s="1">
        <v>1.3429126259219999</v>
      </c>
      <c r="D4" s="1">
        <v>-2.4969724437957901E-3</v>
      </c>
      <c r="E4" s="1">
        <v>1.8723678402530901</v>
      </c>
      <c r="F4" s="1">
        <v>39.3361122400106</v>
      </c>
      <c r="G4" s="1">
        <v>2.28730049570722E-3</v>
      </c>
      <c r="H4" s="1"/>
      <c r="T4" s="1"/>
    </row>
    <row r="5" spans="1:20" ht="43.5" x14ac:dyDescent="0.35">
      <c r="A5" s="1" t="s">
        <v>14</v>
      </c>
      <c r="B5" s="1">
        <v>10.544390346656099</v>
      </c>
      <c r="C5" s="1">
        <v>1.34131437537118</v>
      </c>
      <c r="D5" s="1">
        <v>-2.27725547891305E-3</v>
      </c>
      <c r="E5" s="1">
        <v>1.8742069102108201</v>
      </c>
      <c r="F5" s="1">
        <v>41.363844368786502</v>
      </c>
      <c r="G5" s="1">
        <v>2.8113526351788301E-3</v>
      </c>
      <c r="H5" s="1"/>
      <c r="T5" s="1"/>
    </row>
    <row r="6" spans="1:20" ht="43.5" x14ac:dyDescent="0.35">
      <c r="A6" s="1" t="s">
        <v>15</v>
      </c>
      <c r="B6" s="1">
        <v>10.7196028974402</v>
      </c>
      <c r="C6" s="1">
        <v>1.33623417695736</v>
      </c>
      <c r="D6" s="1">
        <v>-2.2928943445936602E-3</v>
      </c>
      <c r="E6" s="1">
        <v>1.87684280818459</v>
      </c>
      <c r="F6" s="1">
        <v>41.377097419971498</v>
      </c>
      <c r="G6" s="1">
        <v>3.0741119777488901E-3</v>
      </c>
      <c r="H6" s="1"/>
      <c r="T6" s="1"/>
    </row>
    <row r="7" spans="1:20" ht="43.5" x14ac:dyDescent="0.35">
      <c r="A7" s="1" t="s">
        <v>16</v>
      </c>
      <c r="B7" s="1">
        <v>10.753363759575</v>
      </c>
      <c r="C7" s="1">
        <v>1.335235748855</v>
      </c>
      <c r="D7" s="1">
        <v>-2.2293455035166101E-3</v>
      </c>
      <c r="E7" s="1">
        <v>1.87773252959165</v>
      </c>
      <c r="F7" s="1">
        <v>39.376463340012101</v>
      </c>
      <c r="G7" s="1">
        <v>2.28730049570141E-3</v>
      </c>
      <c r="H7" s="1"/>
      <c r="T7" s="1"/>
    </row>
    <row r="8" spans="1:20" ht="43.5" x14ac:dyDescent="0.35">
      <c r="A8" s="1" t="s">
        <v>17</v>
      </c>
      <c r="B8" s="1">
        <v>10.653749196664901</v>
      </c>
      <c r="C8" s="1">
        <v>1.33670530625975</v>
      </c>
      <c r="D8" s="1">
        <v>-2.5727445681393E-3</v>
      </c>
      <c r="E8" s="1">
        <v>1.8740436396172999</v>
      </c>
      <c r="F8" s="1">
        <v>41.440876909999602</v>
      </c>
      <c r="G8" s="1">
        <v>3.3460722009214499E-3</v>
      </c>
      <c r="H8" s="1"/>
      <c r="S8" s="1"/>
    </row>
    <row r="9" spans="1:20" ht="43.5" x14ac:dyDescent="0.35">
      <c r="A9" s="1" t="s">
        <v>18</v>
      </c>
      <c r="B9" s="1">
        <v>10.8630753057798</v>
      </c>
      <c r="C9" s="1">
        <v>1.3389069336944801</v>
      </c>
      <c r="D9" s="1">
        <v>-2.2642383895919798E-3</v>
      </c>
      <c r="E9" s="1">
        <v>1.87802396696895</v>
      </c>
      <c r="F9" s="1">
        <v>39.472758590001</v>
      </c>
      <c r="G9" s="1">
        <v>2.2873004957678E-3</v>
      </c>
      <c r="H9" s="1"/>
      <c r="S9" s="1"/>
    </row>
    <row r="10" spans="1:20" ht="43.5" x14ac:dyDescent="0.35">
      <c r="A10" s="1" t="s">
        <v>19</v>
      </c>
      <c r="B10" s="1">
        <v>10.7208205400928</v>
      </c>
      <c r="C10" s="1">
        <v>1.33957515925451</v>
      </c>
      <c r="D10" s="1">
        <v>-2.5854716699792602E-3</v>
      </c>
      <c r="E10" s="1">
        <v>1.87291877462502</v>
      </c>
      <c r="F10" s="1">
        <v>39.4994990506245</v>
      </c>
      <c r="G10" s="1">
        <v>2.28730049580424E-3</v>
      </c>
      <c r="H10" s="1"/>
      <c r="S10" s="1"/>
    </row>
    <row r="11" spans="1:20" ht="43.5" x14ac:dyDescent="0.35">
      <c r="A11" s="1" t="s">
        <v>20</v>
      </c>
      <c r="B11" s="1">
        <v>10.6700806810118</v>
      </c>
      <c r="C11" s="1">
        <v>1.3402362430505801</v>
      </c>
      <c r="D11" s="1">
        <v>-2.3225742409757298E-3</v>
      </c>
      <c r="E11" s="1">
        <v>1.8736693737730099</v>
      </c>
      <c r="F11" s="1">
        <v>41.535181129995003</v>
      </c>
      <c r="G11" s="1">
        <v>3.2895227659244099E-3</v>
      </c>
      <c r="H11" s="1"/>
      <c r="R11" s="1"/>
    </row>
    <row r="12" spans="1:20" ht="43.5" x14ac:dyDescent="0.35">
      <c r="A12" s="1" t="s">
        <v>21</v>
      </c>
      <c r="B12" s="1">
        <v>10.6606574449491</v>
      </c>
      <c r="C12" s="1">
        <v>1.3407420150542499</v>
      </c>
      <c r="D12" s="1">
        <v>-2.4766688599115998E-3</v>
      </c>
      <c r="E12" s="1">
        <v>1.8767384063463599</v>
      </c>
      <c r="F12" s="1">
        <v>41.525838299279897</v>
      </c>
      <c r="G12" s="1">
        <v>3.2741888846150101E-3</v>
      </c>
      <c r="H12" s="1"/>
      <c r="R12" s="1"/>
    </row>
    <row r="13" spans="1:20" ht="43.5" x14ac:dyDescent="0.35">
      <c r="A13" s="1" t="s">
        <v>22</v>
      </c>
      <c r="B13" s="1">
        <v>10.8131728102025</v>
      </c>
      <c r="C13" s="1">
        <v>1.3392099780861899</v>
      </c>
      <c r="D13" s="1">
        <v>-2.0898486126971201E-3</v>
      </c>
      <c r="E13" s="1">
        <v>1.8773130591238301</v>
      </c>
      <c r="F13" s="1">
        <v>39.5293627000001</v>
      </c>
      <c r="G13" s="1">
        <v>2.2873004957043E-3</v>
      </c>
      <c r="H13" s="1"/>
      <c r="R13" s="1"/>
    </row>
    <row r="14" spans="1:20" ht="43.5" x14ac:dyDescent="0.35">
      <c r="A14" s="1" t="s">
        <v>23</v>
      </c>
      <c r="B14" s="1">
        <v>10.8081420366551</v>
      </c>
      <c r="C14" s="1">
        <v>1.3314732163893199</v>
      </c>
      <c r="D14" s="1">
        <v>-1.6440455266250301E-3</v>
      </c>
      <c r="E14" s="1">
        <v>1.8749377487043399</v>
      </c>
      <c r="F14" s="1">
        <v>39.580778530003499</v>
      </c>
      <c r="G14" s="1">
        <v>2.2873004957233499E-3</v>
      </c>
      <c r="H14" s="1"/>
      <c r="R14" s="1"/>
    </row>
    <row r="15" spans="1:20" ht="43.5" x14ac:dyDescent="0.35">
      <c r="A15" s="1" t="s">
        <v>24</v>
      </c>
      <c r="B15" s="1">
        <v>10.586819027671799</v>
      </c>
      <c r="C15" s="1">
        <v>1.3313438070740899</v>
      </c>
      <c r="D15" s="1">
        <v>-2.6093109678372202E-3</v>
      </c>
      <c r="E15" s="1">
        <v>1.8779040322554099</v>
      </c>
      <c r="F15" s="1">
        <v>41.610712669804201</v>
      </c>
      <c r="G15" s="1">
        <v>2.9147508156193501E-3</v>
      </c>
      <c r="H15" s="1"/>
      <c r="R15" s="1"/>
    </row>
    <row r="16" spans="1:20" ht="43.5" x14ac:dyDescent="0.35">
      <c r="A16" s="1" t="s">
        <v>25</v>
      </c>
      <c r="B16" s="1">
        <v>10.7337029456849</v>
      </c>
      <c r="C16" s="1">
        <v>1.3329517727079601</v>
      </c>
      <c r="D16" s="1">
        <v>-2.6772610635178999E-3</v>
      </c>
      <c r="E16" s="1">
        <v>1.8776211613532601</v>
      </c>
      <c r="F16" s="1">
        <v>40.837308147534799</v>
      </c>
      <c r="G16" s="1">
        <v>2.5184363611108298E-3</v>
      </c>
      <c r="H16" s="1"/>
      <c r="R16" s="1"/>
    </row>
    <row r="17" spans="1:8" x14ac:dyDescent="0.35">
      <c r="A17" s="1"/>
      <c r="B17" s="1"/>
      <c r="C17" s="1"/>
      <c r="D17" s="1"/>
      <c r="E17" s="1"/>
      <c r="F17" s="1"/>
      <c r="G17" s="1"/>
      <c r="H17" s="1"/>
    </row>
    <row r="18" spans="1:8" x14ac:dyDescent="0.35">
      <c r="A18" s="1"/>
      <c r="B18" s="1"/>
      <c r="C18" s="1"/>
      <c r="D18" s="1"/>
      <c r="E18" s="1"/>
      <c r="F18" s="1"/>
      <c r="G18" s="1"/>
      <c r="H18" s="1"/>
    </row>
    <row r="19" spans="1:8" x14ac:dyDescent="0.35">
      <c r="A19" s="1"/>
      <c r="B19" s="1"/>
      <c r="C19" s="1"/>
      <c r="D19" s="1"/>
      <c r="E19" s="1"/>
      <c r="F19" s="1"/>
      <c r="G19" s="1"/>
      <c r="H19" s="1"/>
    </row>
    <row r="20" spans="1:8" x14ac:dyDescent="0.35">
      <c r="A20" s="1"/>
      <c r="B20" s="1"/>
      <c r="C20" s="1"/>
      <c r="D20" s="1"/>
      <c r="E20" s="1"/>
      <c r="F20" s="1"/>
      <c r="G20" s="1"/>
      <c r="H20" s="1"/>
    </row>
    <row r="21" spans="1:8" x14ac:dyDescent="0.35">
      <c r="A21" s="1"/>
      <c r="B21" s="1"/>
      <c r="C21" s="1"/>
      <c r="D21" s="1"/>
      <c r="E21" s="1"/>
      <c r="F21" s="1"/>
      <c r="G21" s="1"/>
      <c r="H21" s="1"/>
    </row>
    <row r="22" spans="1:8" x14ac:dyDescent="0.35">
      <c r="A22" s="1"/>
      <c r="B22" s="1"/>
      <c r="C22" s="1"/>
      <c r="D22" s="1"/>
      <c r="E22" s="1"/>
      <c r="F22" s="1"/>
      <c r="G22" s="1"/>
    </row>
    <row r="23" spans="1:8" x14ac:dyDescent="0.35">
      <c r="A23" s="1"/>
      <c r="B23" s="1"/>
      <c r="C23" s="1"/>
      <c r="D23" s="1"/>
      <c r="E23" s="1"/>
      <c r="F23" s="1"/>
      <c r="G23" s="1"/>
    </row>
    <row r="24" spans="1:8" x14ac:dyDescent="0.35">
      <c r="A24" s="1"/>
      <c r="B24" s="1"/>
      <c r="C24" s="1"/>
      <c r="D24" s="1"/>
      <c r="E24" s="1"/>
      <c r="F24" s="1"/>
      <c r="G24" s="1"/>
    </row>
    <row r="25" spans="1:8" x14ac:dyDescent="0.35">
      <c r="A25" s="1"/>
      <c r="B25" s="1"/>
      <c r="C25" s="1"/>
      <c r="D25" s="1"/>
      <c r="E25" s="1"/>
      <c r="F25" s="1"/>
      <c r="G25" s="1"/>
    </row>
    <row r="26" spans="1:8" x14ac:dyDescent="0.35">
      <c r="A26" s="1"/>
      <c r="B26" s="1"/>
      <c r="C26" s="1"/>
      <c r="D26" s="1"/>
      <c r="E26" s="1"/>
      <c r="F26" s="1"/>
      <c r="G26" s="1"/>
    </row>
    <row r="27" spans="1:8" x14ac:dyDescent="0.35">
      <c r="A27" s="1"/>
      <c r="B27" s="1"/>
      <c r="C27" s="1"/>
      <c r="D27" s="1"/>
      <c r="E27" s="1"/>
      <c r="F27" s="1"/>
      <c r="G27" s="1"/>
    </row>
    <row r="28" spans="1:8" x14ac:dyDescent="0.35">
      <c r="A28" s="1"/>
      <c r="B28" s="1"/>
      <c r="C28" s="1"/>
      <c r="D28" s="1"/>
      <c r="E28" s="1"/>
      <c r="F28" s="1"/>
      <c r="G28" s="1"/>
    </row>
    <row r="29" spans="1:8" x14ac:dyDescent="0.35">
      <c r="A29" s="1"/>
      <c r="B29" s="1"/>
      <c r="C29" s="1"/>
      <c r="D29" s="1"/>
      <c r="E29" s="1"/>
      <c r="F29" s="1"/>
      <c r="G29" s="1"/>
    </row>
    <row r="30" spans="1:8" x14ac:dyDescent="0.35">
      <c r="A30" s="1"/>
      <c r="B30" s="1"/>
      <c r="C30" s="1"/>
      <c r="D30" s="1"/>
      <c r="E30" s="1"/>
      <c r="F30" s="1"/>
      <c r="G30" s="1"/>
    </row>
    <row r="31" spans="1:8" x14ac:dyDescent="0.35">
      <c r="A31" s="1"/>
      <c r="B31" s="1"/>
      <c r="C31" s="1"/>
      <c r="D31" s="1"/>
      <c r="E31" s="1"/>
      <c r="F31" s="1"/>
      <c r="G31" s="1"/>
    </row>
    <row r="32" spans="1:8" x14ac:dyDescent="0.35">
      <c r="A32" s="1"/>
      <c r="B32" s="1"/>
      <c r="C32" s="1"/>
      <c r="D32" s="1"/>
      <c r="E32" s="1"/>
      <c r="F32" s="1"/>
      <c r="G32" s="1"/>
    </row>
    <row r="33" spans="1:7" x14ac:dyDescent="0.35">
      <c r="A33" s="1"/>
      <c r="B33" s="1"/>
      <c r="C33" s="1"/>
      <c r="D33" s="1"/>
      <c r="E33" s="1"/>
      <c r="F33" s="1"/>
      <c r="G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T40"/>
  <sheetViews>
    <sheetView zoomScale="99" zoomScaleNormal="99" workbookViewId="0">
      <selection sqref="A1:B1048576"/>
    </sheetView>
  </sheetViews>
  <sheetFormatPr defaultRowHeight="14.5" x14ac:dyDescent="0.35"/>
  <sheetData>
    <row r="1" spans="1:20" x14ac:dyDescent="0.3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  <c r="L1" s="1"/>
      <c r="M1" s="1"/>
      <c r="N1" s="1"/>
      <c r="O1" s="1"/>
      <c r="P1" s="1"/>
      <c r="Q1" s="1"/>
      <c r="R1" s="1"/>
      <c r="S1" s="1"/>
      <c r="T1" s="1"/>
    </row>
    <row r="2" spans="1:20" ht="43.5" x14ac:dyDescent="0.35">
      <c r="A2" s="1" t="s">
        <v>11</v>
      </c>
      <c r="B2" s="1">
        <v>0.17723933870696301</v>
      </c>
      <c r="C2" s="1">
        <v>1.52487301637545</v>
      </c>
      <c r="D2" s="1">
        <v>2.2700461585669299E-3</v>
      </c>
      <c r="E2" s="1">
        <v>-1.14231236068434E-4</v>
      </c>
      <c r="F2" s="1">
        <v>3.23512952869079</v>
      </c>
      <c r="G2" s="1">
        <v>41.221898518360902</v>
      </c>
      <c r="H2" s="1">
        <v>1.1569455113364399E-3</v>
      </c>
      <c r="K2" s="1"/>
      <c r="L2" s="1"/>
      <c r="M2" s="1"/>
      <c r="N2" s="1"/>
      <c r="O2" s="1"/>
      <c r="P2" s="1"/>
      <c r="Q2" s="1"/>
      <c r="R2" s="1"/>
      <c r="S2" s="1"/>
    </row>
    <row r="3" spans="1:20" ht="43.5" x14ac:dyDescent="0.35">
      <c r="A3" s="1" t="s">
        <v>12</v>
      </c>
      <c r="B3" s="1">
        <v>0.17063092731327101</v>
      </c>
      <c r="C3" s="1">
        <v>1.5246861786958601</v>
      </c>
      <c r="D3" s="1">
        <v>1.53196018672321E-3</v>
      </c>
      <c r="E3" s="2">
        <v>-3.0478828126774801E-5</v>
      </c>
      <c r="F3" s="1">
        <v>3.2266874901991498</v>
      </c>
      <c r="G3" s="1">
        <v>39.298480214282499</v>
      </c>
      <c r="H3" s="1">
        <v>7.7820168788798102E-4</v>
      </c>
      <c r="S3" s="1"/>
    </row>
    <row r="4" spans="1:20" ht="43.5" x14ac:dyDescent="0.35">
      <c r="A4" s="1" t="s">
        <v>13</v>
      </c>
      <c r="B4" s="1">
        <v>0.17490193092626999</v>
      </c>
      <c r="C4" s="1">
        <v>1.5246325996836001</v>
      </c>
      <c r="D4" s="1">
        <v>2.2902798195382E-3</v>
      </c>
      <c r="E4" s="1">
        <v>-1.33777070339282E-4</v>
      </c>
      <c r="F4" s="1">
        <v>3.2271412218013298</v>
      </c>
      <c r="G4" s="1">
        <v>39.335244145692002</v>
      </c>
      <c r="H4" s="1">
        <v>6.5393019349282305E-4</v>
      </c>
    </row>
    <row r="5" spans="1:20" ht="43.5" x14ac:dyDescent="0.35">
      <c r="A5" s="1" t="s">
        <v>14</v>
      </c>
      <c r="B5" s="1">
        <v>0.17702310390171999</v>
      </c>
      <c r="C5" s="1">
        <v>1.5235439322881501</v>
      </c>
      <c r="D5" s="1">
        <v>3.3759068239859399E-3</v>
      </c>
      <c r="E5" s="1">
        <v>-3.0433442885374903E-4</v>
      </c>
      <c r="F5" s="1">
        <v>3.21743597107278</v>
      </c>
      <c r="G5" s="1">
        <v>41.354547403589002</v>
      </c>
      <c r="H5" s="1">
        <v>1.1341233812691199E-3</v>
      </c>
    </row>
    <row r="6" spans="1:20" ht="43.5" x14ac:dyDescent="0.35">
      <c r="A6" s="1" t="s">
        <v>15</v>
      </c>
      <c r="B6" s="1">
        <v>0.171948853936535</v>
      </c>
      <c r="C6" s="1">
        <v>1.5252938371984199</v>
      </c>
      <c r="D6" s="1">
        <v>2.1360699199609902E-3</v>
      </c>
      <c r="E6" s="1">
        <v>-1.3129439985086E-4</v>
      </c>
      <c r="F6" s="1">
        <v>2.9833724655786602</v>
      </c>
      <c r="G6" s="1">
        <v>39.3709805160942</v>
      </c>
      <c r="H6" s="1">
        <v>5.7857699606149297E-4</v>
      </c>
    </row>
    <row r="7" spans="1:20" ht="43.5" x14ac:dyDescent="0.35">
      <c r="A7" s="1" t="s">
        <v>16</v>
      </c>
      <c r="B7" s="1">
        <v>0.17411860264206899</v>
      </c>
      <c r="C7" s="1">
        <v>1.52384556726022</v>
      </c>
      <c r="D7" s="1">
        <v>2.4136129341453499E-3</v>
      </c>
      <c r="E7" s="1">
        <v>-1.65403405764465E-4</v>
      </c>
      <c r="F7" s="1">
        <v>3.2286671990468299</v>
      </c>
      <c r="G7" s="1">
        <v>41.358298524737997</v>
      </c>
      <c r="H7" s="1">
        <v>1.13656199995568E-3</v>
      </c>
    </row>
    <row r="8" spans="1:20" ht="43.5" x14ac:dyDescent="0.35">
      <c r="A8" s="1" t="s">
        <v>17</v>
      </c>
      <c r="B8" s="1">
        <v>0.175935205113702</v>
      </c>
      <c r="C8" s="1">
        <v>1.52402562992428</v>
      </c>
      <c r="D8" s="1">
        <v>2.1186350201937601E-3</v>
      </c>
      <c r="E8" s="1">
        <v>-1.13914671201913E-4</v>
      </c>
      <c r="F8" s="1">
        <v>3.2315255396213698</v>
      </c>
      <c r="G8" s="1">
        <v>39.422313549752197</v>
      </c>
      <c r="H8" s="1">
        <v>5.8088645278847801E-4</v>
      </c>
    </row>
    <row r="9" spans="1:20" ht="43.5" x14ac:dyDescent="0.35">
      <c r="A9" s="1" t="s">
        <v>18</v>
      </c>
      <c r="B9" s="1">
        <v>0.17427622300988699</v>
      </c>
      <c r="C9" s="1">
        <v>1.52519354835432</v>
      </c>
      <c r="D9" s="1">
        <v>1.89194297249383E-3</v>
      </c>
      <c r="E9" s="2">
        <v>-8.5704219217770704E-5</v>
      </c>
      <c r="F9" s="1">
        <v>2.9771900837817502</v>
      </c>
      <c r="G9" s="1">
        <v>39.4634329000721</v>
      </c>
      <c r="H9" s="1">
        <v>5.8116338426339995E-4</v>
      </c>
    </row>
    <row r="10" spans="1:20" ht="43.5" x14ac:dyDescent="0.35">
      <c r="A10" s="1" t="s">
        <v>19</v>
      </c>
      <c r="B10" s="1">
        <v>0.17224969239811899</v>
      </c>
      <c r="C10" s="1">
        <v>1.5234272013633099</v>
      </c>
      <c r="D10" s="1">
        <v>2.2879130881010099E-3</v>
      </c>
      <c r="E10" s="1">
        <v>-1.37560439919959E-4</v>
      </c>
      <c r="F10" s="1">
        <v>3.4722379838993001</v>
      </c>
      <c r="G10" s="1">
        <v>39.614866561726402</v>
      </c>
      <c r="H10" s="1">
        <v>7.0893626345597802E-4</v>
      </c>
    </row>
    <row r="11" spans="1:20" ht="43.5" x14ac:dyDescent="0.35">
      <c r="A11" s="1" t="s">
        <v>20</v>
      </c>
      <c r="B11" s="1">
        <v>0.17435257559575301</v>
      </c>
      <c r="C11" s="1">
        <v>1.52428504448478</v>
      </c>
      <c r="D11" s="1">
        <v>2.54505151993174E-3</v>
      </c>
      <c r="E11" s="1">
        <v>-2.0326599827352599E-4</v>
      </c>
      <c r="F11" s="1">
        <v>3.2248866886165999</v>
      </c>
      <c r="G11" s="1">
        <v>41.460449073737898</v>
      </c>
      <c r="H11" s="1">
        <v>5.9062269859201796E-4</v>
      </c>
    </row>
    <row r="12" spans="1:20" ht="43.5" x14ac:dyDescent="0.35">
      <c r="A12" s="1" t="s">
        <v>21</v>
      </c>
      <c r="B12" s="1">
        <v>0.171222354567128</v>
      </c>
      <c r="C12" s="1">
        <v>1.5244947496305501</v>
      </c>
      <c r="D12" s="1">
        <v>2.4064377305479598E-3</v>
      </c>
      <c r="E12" s="1">
        <v>-1.6953477753457101E-4</v>
      </c>
      <c r="F12" s="1">
        <v>3.22038234925509</v>
      </c>
      <c r="G12" s="1">
        <v>39.872062402026401</v>
      </c>
      <c r="H12" s="1">
        <v>1.15478915087406E-3</v>
      </c>
    </row>
    <row r="13" spans="1:20" ht="43.5" x14ac:dyDescent="0.35">
      <c r="A13" s="1" t="s">
        <v>22</v>
      </c>
      <c r="B13" s="1">
        <v>0.17230494746765301</v>
      </c>
      <c r="C13" s="1">
        <v>1.52518163888711</v>
      </c>
      <c r="D13" s="1">
        <v>2.1870958599646698E-3</v>
      </c>
      <c r="E13" s="1">
        <v>-1.4951860029242901E-4</v>
      </c>
      <c r="F13" s="1">
        <v>2.96913758443957</v>
      </c>
      <c r="G13" s="1">
        <v>39.524315962115402</v>
      </c>
      <c r="H13" s="1">
        <v>5.8603779132495801E-4</v>
      </c>
    </row>
    <row r="14" spans="1:20" ht="43.5" x14ac:dyDescent="0.35">
      <c r="A14" s="1" t="s">
        <v>23</v>
      </c>
      <c r="B14" s="1">
        <v>0.17976030708667101</v>
      </c>
      <c r="C14" s="1">
        <v>1.52408865454228</v>
      </c>
      <c r="D14" s="1">
        <v>2.64346684261861E-3</v>
      </c>
      <c r="E14" s="1">
        <v>-2.3768933784083099E-4</v>
      </c>
      <c r="F14" s="1">
        <v>3.2189334298719601</v>
      </c>
      <c r="G14" s="1">
        <v>41.572050123677798</v>
      </c>
      <c r="H14" s="1">
        <v>1.15715356722524E-3</v>
      </c>
    </row>
    <row r="15" spans="1:20" ht="43.5" x14ac:dyDescent="0.35">
      <c r="A15" s="1" t="s">
        <v>24</v>
      </c>
      <c r="B15" s="1">
        <v>0.174433801903358</v>
      </c>
      <c r="C15" s="1">
        <v>1.5235044746209601</v>
      </c>
      <c r="D15" s="1">
        <v>2.0859694072572102E-3</v>
      </c>
      <c r="E15" s="1">
        <v>-1.23083871931537E-4</v>
      </c>
      <c r="F15" s="1">
        <v>3.4804869664270499</v>
      </c>
      <c r="G15" s="1">
        <v>39.720817791521398</v>
      </c>
      <c r="H15" s="1">
        <v>6.7659321195702904E-4</v>
      </c>
    </row>
    <row r="16" spans="1:20" ht="43.5" x14ac:dyDescent="0.35">
      <c r="A16" s="1" t="s">
        <v>25</v>
      </c>
      <c r="B16" s="1">
        <v>0.17714435708530099</v>
      </c>
      <c r="C16" s="1">
        <v>1.5240152486199501</v>
      </c>
      <c r="D16" s="1">
        <v>2.15275574426396E-3</v>
      </c>
      <c r="E16" s="1">
        <v>-1.2622808017610399E-4</v>
      </c>
      <c r="F16" s="1">
        <v>2.97790233781248</v>
      </c>
      <c r="G16" s="1">
        <v>41.622341512444102</v>
      </c>
      <c r="H16" s="1">
        <v>1.15695030858436E-3</v>
      </c>
    </row>
    <row r="17" spans="1:8" x14ac:dyDescent="0.35">
      <c r="A17" s="1"/>
      <c r="B17" s="1"/>
      <c r="C17" s="1"/>
      <c r="D17" s="1"/>
      <c r="E17" s="1"/>
      <c r="F17" s="1"/>
      <c r="G17" s="1"/>
      <c r="H17" s="1"/>
    </row>
    <row r="18" spans="1:8" x14ac:dyDescent="0.35">
      <c r="A18" s="1"/>
      <c r="B18" s="1"/>
      <c r="C18" s="1"/>
      <c r="D18" s="1"/>
      <c r="E18" s="1"/>
      <c r="F18" s="1"/>
      <c r="G18" s="1"/>
      <c r="H18" s="1"/>
    </row>
    <row r="19" spans="1:8" x14ac:dyDescent="0.35">
      <c r="A19" s="1"/>
      <c r="B19" s="1"/>
      <c r="C19" s="1"/>
      <c r="D19" s="1"/>
      <c r="E19" s="1"/>
      <c r="F19" s="1"/>
      <c r="G19" s="1"/>
      <c r="H19" s="1"/>
    </row>
    <row r="20" spans="1:8" x14ac:dyDescent="0.35">
      <c r="A20" s="1"/>
      <c r="B20" s="1"/>
      <c r="C20" s="1"/>
      <c r="D20" s="1"/>
      <c r="E20" s="1"/>
      <c r="F20" s="1"/>
      <c r="G20" s="1"/>
      <c r="H20" s="1"/>
    </row>
    <row r="21" spans="1:8" x14ac:dyDescent="0.35">
      <c r="A21" s="1"/>
      <c r="B21" s="1"/>
      <c r="C21" s="1"/>
      <c r="D21" s="1"/>
      <c r="E21" s="1"/>
      <c r="F21" s="1"/>
      <c r="G21" s="1"/>
      <c r="H21" s="1"/>
    </row>
    <row r="22" spans="1:8" x14ac:dyDescent="0.35">
      <c r="A22" s="1"/>
      <c r="B22" s="1"/>
      <c r="C22" s="1"/>
      <c r="D22" s="1"/>
      <c r="E22" s="1"/>
      <c r="F22" s="1"/>
      <c r="G22" s="1"/>
      <c r="H22" s="1"/>
    </row>
    <row r="23" spans="1:8" x14ac:dyDescent="0.35">
      <c r="A23" s="1"/>
      <c r="B23" s="1"/>
      <c r="C23" s="1"/>
      <c r="D23" s="1"/>
      <c r="E23" s="1"/>
      <c r="F23" s="1"/>
      <c r="G23" s="1"/>
      <c r="H23" s="1"/>
    </row>
    <row r="24" spans="1:8" x14ac:dyDescent="0.35">
      <c r="A24" s="1"/>
      <c r="B24" s="1"/>
      <c r="C24" s="1"/>
      <c r="D24" s="1"/>
      <c r="E24" s="2"/>
      <c r="F24" s="1"/>
      <c r="G24" s="1"/>
      <c r="H24" s="1"/>
    </row>
    <row r="25" spans="1:8" x14ac:dyDescent="0.35">
      <c r="A25" s="1"/>
      <c r="B25" s="1"/>
      <c r="C25" s="1"/>
      <c r="D25" s="2"/>
      <c r="E25" s="2"/>
      <c r="F25" s="1"/>
      <c r="G25" s="1"/>
      <c r="H25" s="1"/>
    </row>
    <row r="26" spans="1:8" x14ac:dyDescent="0.35">
      <c r="A26" s="1"/>
      <c r="B26" s="1"/>
      <c r="C26" s="1"/>
      <c r="D26" s="1"/>
      <c r="E26" s="2"/>
      <c r="F26" s="1"/>
      <c r="G26" s="1"/>
      <c r="H26" s="1"/>
    </row>
    <row r="27" spans="1:8" x14ac:dyDescent="0.35">
      <c r="A27" s="1"/>
      <c r="B27" s="1"/>
      <c r="C27" s="1"/>
      <c r="D27" s="1"/>
      <c r="E27" s="2"/>
      <c r="F27" s="1"/>
      <c r="G27" s="1"/>
      <c r="H27" s="1"/>
    </row>
    <row r="28" spans="1:8" x14ac:dyDescent="0.35">
      <c r="A28" s="1"/>
      <c r="B28" s="1"/>
      <c r="C28" s="1"/>
      <c r="D28" s="1"/>
      <c r="E28" s="2"/>
      <c r="F28" s="1"/>
      <c r="G28" s="1"/>
      <c r="H28" s="1"/>
    </row>
    <row r="29" spans="1:8" x14ac:dyDescent="0.35">
      <c r="A29" s="1"/>
      <c r="B29" s="1"/>
      <c r="C29" s="1"/>
      <c r="D29" s="1"/>
      <c r="E29" s="2"/>
      <c r="F29" s="1"/>
      <c r="G29" s="1"/>
      <c r="H29" s="1"/>
    </row>
    <row r="30" spans="1:8" x14ac:dyDescent="0.35">
      <c r="A30" s="1"/>
      <c r="B30" s="1"/>
      <c r="C30" s="1"/>
      <c r="D30" s="1"/>
      <c r="E30" s="2"/>
      <c r="F30" s="1"/>
      <c r="G30" s="1"/>
      <c r="H30" s="1"/>
    </row>
    <row r="31" spans="1:8" x14ac:dyDescent="0.35">
      <c r="A31" s="1"/>
      <c r="B31" s="1"/>
      <c r="C31" s="1"/>
      <c r="D31" s="1"/>
      <c r="E31" s="2"/>
      <c r="F31" s="1"/>
      <c r="G31" s="1"/>
      <c r="H31" s="1"/>
    </row>
    <row r="32" spans="1:8" x14ac:dyDescent="0.35">
      <c r="A32" s="1"/>
      <c r="B32" s="1"/>
      <c r="C32" s="1"/>
      <c r="D32" s="1"/>
      <c r="E32" s="2"/>
      <c r="F32" s="1"/>
      <c r="G32" s="1"/>
      <c r="H32" s="1"/>
    </row>
    <row r="33" spans="1:8" x14ac:dyDescent="0.35">
      <c r="A33" s="1"/>
      <c r="B33" s="1"/>
      <c r="C33" s="1"/>
      <c r="D33" s="1"/>
      <c r="E33" s="2"/>
      <c r="F33" s="1"/>
      <c r="G33" s="1"/>
      <c r="H33" s="1"/>
    </row>
    <row r="34" spans="1:8" x14ac:dyDescent="0.35">
      <c r="A34" s="1"/>
      <c r="B34" s="1"/>
      <c r="C34" s="1"/>
      <c r="D34" s="1"/>
      <c r="E34" s="2"/>
      <c r="F34" s="1"/>
      <c r="G34" s="1"/>
      <c r="H34" s="1"/>
    </row>
    <row r="35" spans="1:8" x14ac:dyDescent="0.35">
      <c r="A35" s="1"/>
      <c r="B35" s="1"/>
      <c r="C35" s="1"/>
      <c r="D35" s="1"/>
      <c r="E35" s="2"/>
      <c r="F35" s="1"/>
      <c r="G35" s="1"/>
      <c r="H35" s="1"/>
    </row>
    <row r="36" spans="1:8" x14ac:dyDescent="0.35">
      <c r="A36" s="1"/>
      <c r="B36" s="1"/>
      <c r="C36" s="1"/>
      <c r="D36" s="1"/>
      <c r="E36" s="2"/>
      <c r="F36" s="1"/>
      <c r="G36" s="1"/>
      <c r="H36" s="1"/>
    </row>
    <row r="37" spans="1:8" x14ac:dyDescent="0.35">
      <c r="A37" s="1"/>
      <c r="B37" s="1"/>
      <c r="C37" s="1"/>
      <c r="D37" s="1"/>
      <c r="E37" s="2"/>
      <c r="F37" s="1"/>
      <c r="G37" s="1"/>
      <c r="H37" s="1"/>
    </row>
    <row r="38" spans="1:8" x14ac:dyDescent="0.35">
      <c r="A38" s="1"/>
      <c r="B38" s="1"/>
      <c r="C38" s="1"/>
      <c r="D38" s="1"/>
      <c r="E38" s="2"/>
      <c r="F38" s="1"/>
      <c r="G38" s="1"/>
      <c r="H38" s="1"/>
    </row>
    <row r="39" spans="1:8" x14ac:dyDescent="0.35">
      <c r="A39" s="1"/>
      <c r="B39" s="1"/>
      <c r="C39" s="1"/>
      <c r="D39" s="1"/>
      <c r="E39" s="2"/>
      <c r="F39" s="1"/>
      <c r="G39" s="1"/>
      <c r="H39" s="1"/>
    </row>
    <row r="40" spans="1:8" x14ac:dyDescent="0.35">
      <c r="A40" s="1"/>
      <c r="B40" s="1"/>
      <c r="C40" s="1"/>
      <c r="D40" s="2"/>
      <c r="E40" s="2"/>
      <c r="F40" s="1"/>
      <c r="G40" s="1"/>
      <c r="H4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G40"/>
  <sheetViews>
    <sheetView tabSelected="1" workbookViewId="0">
      <selection activeCell="A2" sqref="A2:C16"/>
    </sheetView>
  </sheetViews>
  <sheetFormatPr defaultRowHeight="14.5" x14ac:dyDescent="0.35"/>
  <cols>
    <col min="5" max="5" width="16.7265625" customWidth="1"/>
  </cols>
  <sheetData>
    <row r="1" spans="1:7" x14ac:dyDescent="0.35">
      <c r="A1" s="1" t="s">
        <v>0</v>
      </c>
      <c r="B1" s="1" t="s">
        <v>4</v>
      </c>
      <c r="C1" s="1" t="s">
        <v>4</v>
      </c>
    </row>
    <row r="2" spans="1:7" ht="43.5" x14ac:dyDescent="0.35">
      <c r="A2" s="1" t="s">
        <v>11</v>
      </c>
      <c r="B2" s="1">
        <v>10.794234615893799</v>
      </c>
      <c r="C2" s="1">
        <v>0.17723933870696301</v>
      </c>
      <c r="F2">
        <v>894</v>
      </c>
      <c r="G2">
        <v>456</v>
      </c>
    </row>
    <row r="3" spans="1:7" ht="43.5" x14ac:dyDescent="0.35">
      <c r="A3" s="1" t="s">
        <v>12</v>
      </c>
      <c r="B3" s="1">
        <v>10.8450661689269</v>
      </c>
      <c r="C3" s="1">
        <v>0.17063092731327101</v>
      </c>
      <c r="E3" t="s">
        <v>1</v>
      </c>
      <c r="F3">
        <f>AVERAGE(B2:B33)</f>
        <v>10.727879988625201</v>
      </c>
      <c r="G3">
        <f>AVERAGE(C2:C33)</f>
        <v>0.17450281477696</v>
      </c>
    </row>
    <row r="4" spans="1:7" ht="43.5" x14ac:dyDescent="0.35">
      <c r="A4" s="1" t="s">
        <v>13</v>
      </c>
      <c r="B4" s="1">
        <v>10.7513220521733</v>
      </c>
      <c r="C4" s="1">
        <v>0.17490193092626999</v>
      </c>
      <c r="E4" t="s">
        <v>2</v>
      </c>
      <c r="F4">
        <f>_xlfn.STDEV.S(B2:B33)</f>
        <v>9.1963900851499622E-2</v>
      </c>
      <c r="G4">
        <f>_xlfn.STDEV.S(C2:C33)</f>
        <v>2.5784762064618365E-3</v>
      </c>
    </row>
    <row r="5" spans="1:7" ht="43.5" x14ac:dyDescent="0.35">
      <c r="A5" s="1" t="s">
        <v>14</v>
      </c>
      <c r="B5" s="1">
        <v>10.544390346656099</v>
      </c>
      <c r="C5" s="1">
        <v>0.17702310390171999</v>
      </c>
      <c r="E5" t="s">
        <v>3</v>
      </c>
      <c r="F5">
        <f>F4/F3/SQRT(COUNT(B2:B33))</f>
        <v>2.2133895160881805E-3</v>
      </c>
      <c r="G5">
        <f>G4/G3/SQRT(COUNT(C2:C33))</f>
        <v>3.8151802571142236E-3</v>
      </c>
    </row>
    <row r="6" spans="1:7" ht="43.5" x14ac:dyDescent="0.35">
      <c r="A6" s="1" t="s">
        <v>15</v>
      </c>
      <c r="B6" s="1">
        <v>10.7196028974402</v>
      </c>
      <c r="C6" s="1">
        <v>0.171948853936535</v>
      </c>
    </row>
    <row r="7" spans="1:7" ht="43.5" x14ac:dyDescent="0.35">
      <c r="A7" s="1" t="s">
        <v>16</v>
      </c>
      <c r="B7" s="1">
        <v>10.753363759575</v>
      </c>
      <c r="C7" s="1">
        <v>0.17411860264206899</v>
      </c>
    </row>
    <row r="8" spans="1:7" ht="43.5" x14ac:dyDescent="0.35">
      <c r="A8" s="1" t="s">
        <v>17</v>
      </c>
      <c r="B8" s="1">
        <v>10.653749196664901</v>
      </c>
      <c r="C8" s="1">
        <v>0.175935205113702</v>
      </c>
    </row>
    <row r="9" spans="1:7" ht="43.5" x14ac:dyDescent="0.35">
      <c r="A9" s="1" t="s">
        <v>18</v>
      </c>
      <c r="B9" s="1">
        <v>10.8630753057798</v>
      </c>
      <c r="C9" s="1">
        <v>0.17427622300988699</v>
      </c>
    </row>
    <row r="10" spans="1:7" ht="43.5" x14ac:dyDescent="0.35">
      <c r="A10" s="1" t="s">
        <v>19</v>
      </c>
      <c r="B10" s="1">
        <v>10.7208205400928</v>
      </c>
      <c r="C10" s="1">
        <v>0.17224969239811899</v>
      </c>
    </row>
    <row r="11" spans="1:7" ht="43.5" x14ac:dyDescent="0.35">
      <c r="A11" s="1" t="s">
        <v>20</v>
      </c>
      <c r="B11" s="1">
        <v>10.6700806810118</v>
      </c>
      <c r="C11" s="1">
        <v>0.17435257559575301</v>
      </c>
    </row>
    <row r="12" spans="1:7" ht="43.5" x14ac:dyDescent="0.35">
      <c r="A12" s="1" t="s">
        <v>21</v>
      </c>
      <c r="B12" s="1">
        <v>10.6606574449491</v>
      </c>
      <c r="C12" s="1">
        <v>0.171222354567128</v>
      </c>
    </row>
    <row r="13" spans="1:7" ht="43.5" x14ac:dyDescent="0.35">
      <c r="A13" s="1" t="s">
        <v>22</v>
      </c>
      <c r="B13" s="1">
        <v>10.8131728102025</v>
      </c>
      <c r="C13" s="1">
        <v>0.17230494746765301</v>
      </c>
    </row>
    <row r="14" spans="1:7" ht="43.5" x14ac:dyDescent="0.35">
      <c r="A14" s="1" t="s">
        <v>23</v>
      </c>
      <c r="B14" s="1">
        <v>10.8081420366551</v>
      </c>
      <c r="C14" s="1">
        <v>0.17976030708667101</v>
      </c>
    </row>
    <row r="15" spans="1:7" ht="43.5" x14ac:dyDescent="0.35">
      <c r="A15" s="1" t="s">
        <v>24</v>
      </c>
      <c r="B15" s="1">
        <v>10.586819027671799</v>
      </c>
      <c r="C15" s="1">
        <v>0.174433801903358</v>
      </c>
    </row>
    <row r="16" spans="1:7" ht="43.5" x14ac:dyDescent="0.35">
      <c r="A16" s="1" t="s">
        <v>25</v>
      </c>
      <c r="B16" s="1">
        <v>10.7337029456849</v>
      </c>
      <c r="C16" s="1">
        <v>0.17714435708530099</v>
      </c>
    </row>
    <row r="17" spans="1:3" x14ac:dyDescent="0.35">
      <c r="A17" s="1"/>
      <c r="B17" s="1"/>
      <c r="C17" s="1"/>
    </row>
    <row r="18" spans="1:3" x14ac:dyDescent="0.35">
      <c r="A18" s="1"/>
      <c r="B18" s="1"/>
      <c r="C18" s="1"/>
    </row>
    <row r="19" spans="1:3" x14ac:dyDescent="0.35">
      <c r="A19" s="1"/>
      <c r="B19" s="1"/>
      <c r="C19" s="1"/>
    </row>
    <row r="20" spans="1:3" x14ac:dyDescent="0.35">
      <c r="A20" s="1"/>
      <c r="B20" s="1"/>
      <c r="C20" s="1"/>
    </row>
    <row r="21" spans="1:3" x14ac:dyDescent="0.35">
      <c r="A21" s="1"/>
      <c r="B21" s="1"/>
      <c r="C21" s="1"/>
    </row>
    <row r="22" spans="1:3" x14ac:dyDescent="0.35">
      <c r="A22" s="1"/>
      <c r="B22" s="1"/>
      <c r="C22" s="1"/>
    </row>
    <row r="23" spans="1:3" x14ac:dyDescent="0.35">
      <c r="A23" s="1"/>
      <c r="B23" s="1"/>
      <c r="C23" s="1"/>
    </row>
    <row r="24" spans="1:3" x14ac:dyDescent="0.35">
      <c r="A24" s="1"/>
      <c r="B24" s="1"/>
      <c r="C24" s="1"/>
    </row>
    <row r="25" spans="1:3" x14ac:dyDescent="0.35">
      <c r="A25" s="1"/>
      <c r="B25" s="1"/>
      <c r="C25" s="1"/>
    </row>
    <row r="26" spans="1:3" x14ac:dyDescent="0.35">
      <c r="A26" s="1"/>
      <c r="B26" s="1"/>
      <c r="C26" s="1"/>
    </row>
    <row r="27" spans="1:3" x14ac:dyDescent="0.35">
      <c r="A27" s="1"/>
      <c r="B27" s="1"/>
      <c r="C27" s="1"/>
    </row>
    <row r="28" spans="1:3" x14ac:dyDescent="0.35">
      <c r="A28" s="1"/>
      <c r="B28" s="1"/>
      <c r="C28" s="1"/>
    </row>
    <row r="29" spans="1:3" x14ac:dyDescent="0.35">
      <c r="A29" s="1"/>
      <c r="B29" s="1"/>
      <c r="C29" s="1"/>
    </row>
    <row r="30" spans="1:3" x14ac:dyDescent="0.35">
      <c r="A30" s="1"/>
      <c r="B30" s="1"/>
      <c r="C30" s="1"/>
    </row>
    <row r="31" spans="1:3" x14ac:dyDescent="0.35">
      <c r="A31" s="1"/>
      <c r="B31" s="1"/>
      <c r="C31" s="1"/>
    </row>
    <row r="32" spans="1:3" x14ac:dyDescent="0.35">
      <c r="A32" s="1"/>
      <c r="B32" s="1"/>
      <c r="C32" s="1"/>
    </row>
    <row r="33" spans="1:3" x14ac:dyDescent="0.35">
      <c r="A33" s="1"/>
      <c r="B33" s="1"/>
      <c r="C33" s="1"/>
    </row>
    <row r="34" spans="1:3" x14ac:dyDescent="0.35">
      <c r="C34" s="1"/>
    </row>
    <row r="35" spans="1:3" x14ac:dyDescent="0.35">
      <c r="C35" s="1"/>
    </row>
    <row r="36" spans="1:3" x14ac:dyDescent="0.35">
      <c r="C36" s="1"/>
    </row>
    <row r="37" spans="1:3" x14ac:dyDescent="0.35">
      <c r="C37" s="1"/>
    </row>
    <row r="38" spans="1:3" x14ac:dyDescent="0.35">
      <c r="C38" s="1"/>
    </row>
    <row r="39" spans="1:3" x14ac:dyDescent="0.35">
      <c r="C39" s="1"/>
    </row>
    <row r="40" spans="1:3" x14ac:dyDescent="0.35">
      <c r="C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Garcia</cp:lastModifiedBy>
  <dcterms:created xsi:type="dcterms:W3CDTF">2026-06-24T14:26:48Z</dcterms:created>
  <dcterms:modified xsi:type="dcterms:W3CDTF">2026-06-27T04:51:50Z</dcterms:modified>
</cp:coreProperties>
</file>