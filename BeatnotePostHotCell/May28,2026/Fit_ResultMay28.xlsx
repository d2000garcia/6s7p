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\May28,2026\"/>
    </mc:Choice>
  </mc:AlternateContent>
  <xr:revisionPtr revIDLastSave="0" documentId="13_ncr:1_{9AB272AB-B06A-47AE-BB4B-415AC56B9DDE}" xr6:coauthVersionLast="47" xr6:coauthVersionMax="47" xr10:uidLastSave="{00000000-0000-0000-0000-000000000000}"/>
  <bookViews>
    <workbookView xWindow="28680" yWindow="-120" windowWidth="29040" windowHeight="15720" activeTab="2" xr2:uid="{D9E101C5-8284-4B59-8B1C-2AD2D5F2FDD3}"/>
  </bookViews>
  <sheets>
    <sheet name="456" sheetId="1" r:id="rId1"/>
    <sheet name="894" sheetId="2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3" l="1"/>
  <c r="H4" i="3"/>
  <c r="I3" i="3"/>
  <c r="H3" i="3"/>
  <c r="H2" i="3"/>
  <c r="I2" i="3"/>
</calcChain>
</file>

<file path=xl/sharedStrings.xml><?xml version="1.0" encoding="utf-8"?>
<sst xmlns="http://schemas.openxmlformats.org/spreadsheetml/2006/main" count="100" uniqueCount="35">
  <si>
    <t>Date</t>
  </si>
  <si>
    <t>Alpha</t>
  </si>
  <si>
    <t>P0</t>
  </si>
  <si>
    <t>h1</t>
  </si>
  <si>
    <t>mv</t>
  </si>
  <si>
    <t>T</t>
  </si>
  <si>
    <t>gamma</t>
  </si>
  <si>
    <t>May28,2026+1-37-31PM</t>
  </si>
  <si>
    <t>May28,2026+11-51-56AM</t>
  </si>
  <si>
    <t>May28,2026+12-26-46PM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</si>
  <si>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</si>
  <si>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</si>
  <si>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</si>
  <si>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</si>
  <si>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</si>
  <si>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</si>
  <si>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</si>
  <si>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</si>
  <si>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</si>
  <si>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</si>
  <si>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May28,2026+3-49-20PM</t>
  </si>
  <si>
    <t>May28,2026+3-59-05PM</t>
  </si>
  <si>
    <t>May28,2026+4-08-39PM</t>
  </si>
  <si>
    <t>May28,2026+4-16-31PM</t>
  </si>
  <si>
    <t>May28,2026+4-36-20PM</t>
  </si>
  <si>
    <t>May28,2026+4-48-24PM</t>
  </si>
  <si>
    <t>May28,2026+4-58-22PM</t>
  </si>
  <si>
    <t>May28,2026+5-15-31PM</t>
  </si>
  <si>
    <t>May28,2026+5-23-41PM</t>
  </si>
  <si>
    <t>May28,2026+5-31-48PM</t>
  </si>
  <si>
    <t>May28,2026+5-39-46PM</t>
  </si>
  <si>
    <t>May28,2026+6-01-12PM</t>
  </si>
  <si>
    <t>h2</t>
  </si>
  <si>
    <t>mean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</si>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</sst>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H26"/>
  <sheetViews>
    <sheetView zoomScale="99" zoomScaleNormal="99" workbookViewId="0">
      <selection activeCell="A13" sqref="A13:H13"/>
    </sheetView>
  </sheetViews>
  <sheetFormatPr defaultRowHeight="14.2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32</v>
      </c>
      <c r="F1" s="1" t="s">
        <v>4</v>
      </c>
      <c r="G1" s="1" t="s">
        <v>5</v>
      </c>
      <c r="H1" s="1" t="s">
        <v>6</v>
      </c>
    </row>
    <row r="2" spans="1:8" ht="42.75">
      <c r="A2" s="1" t="s">
        <v>7</v>
      </c>
      <c r="B2" s="1">
        <v>0.39075425090921301</v>
      </c>
      <c r="C2" s="1">
        <v>1.4905490974729301</v>
      </c>
      <c r="D2" s="1">
        <v>-11.056497237999899</v>
      </c>
      <c r="E2" s="2">
        <v>-4.6394866255121999E-5</v>
      </c>
      <c r="F2" s="1">
        <v>3.5613195963412498</v>
      </c>
      <c r="G2" s="1">
        <v>63.443282631024303</v>
      </c>
      <c r="H2" s="1">
        <v>1.15112995116531E-3</v>
      </c>
    </row>
    <row r="3" spans="1:8" ht="42.75">
      <c r="A3" s="1" t="s">
        <v>8</v>
      </c>
      <c r="B3" s="1">
        <v>0.382603274453377</v>
      </c>
      <c r="C3" s="1">
        <v>1.48748116910918</v>
      </c>
      <c r="D3" s="1">
        <v>-2.0257808480688899E-3</v>
      </c>
      <c r="E3" s="2">
        <v>7.0209059026860593E-5</v>
      </c>
      <c r="F3" s="1">
        <v>3.6462509395362899</v>
      </c>
      <c r="G3" s="1">
        <v>63.3286749801144</v>
      </c>
      <c r="H3" s="1">
        <v>1.15536261605784E-3</v>
      </c>
    </row>
    <row r="4" spans="1:8" ht="42.75">
      <c r="A4" s="1" t="s">
        <v>9</v>
      </c>
      <c r="B4" s="1">
        <v>0.39308947006408002</v>
      </c>
      <c r="C4" s="1">
        <v>1.4838977883584801</v>
      </c>
      <c r="D4" s="1">
        <v>-7.1624067823997204E-4</v>
      </c>
      <c r="E4" s="2">
        <v>-9.0836229937458202E-5</v>
      </c>
      <c r="F4" s="1">
        <v>3.6401556043666701</v>
      </c>
      <c r="G4" s="1">
        <v>63.4675558545296</v>
      </c>
      <c r="H4" s="1">
        <v>1.13505299747706E-3</v>
      </c>
    </row>
    <row r="5" spans="1:8" ht="42.75">
      <c r="A5" s="1" t="s">
        <v>10</v>
      </c>
      <c r="B5" s="1">
        <v>0.39090251610402299</v>
      </c>
      <c r="C5" s="1">
        <v>1.4837879279099899</v>
      </c>
      <c r="D5" s="1">
        <v>-1.57487840653377E-3</v>
      </c>
      <c r="E5" s="2">
        <v>4.0376541549654297E-5</v>
      </c>
      <c r="F5" s="1">
        <v>2.0668804140352699</v>
      </c>
      <c r="G5" s="1">
        <v>63.441366201157699</v>
      </c>
      <c r="H5" s="1">
        <v>1.1470989971767401E-3</v>
      </c>
    </row>
    <row r="6" spans="1:8" ht="42.75">
      <c r="A6" s="1" t="s">
        <v>11</v>
      </c>
      <c r="B6" s="1">
        <v>0.38163793874347302</v>
      </c>
      <c r="C6" s="1">
        <v>1.4832129968194401</v>
      </c>
      <c r="D6" s="1">
        <v>-2.22918801331387E-3</v>
      </c>
      <c r="E6" s="1">
        <v>1.5548819591606699E-4</v>
      </c>
      <c r="F6" s="1">
        <v>2.0625628723508198</v>
      </c>
      <c r="G6" s="1">
        <v>61.439773030001497</v>
      </c>
      <c r="H6" s="1">
        <v>5.7857693707981698E-4</v>
      </c>
    </row>
    <row r="7" spans="1:8" ht="42.75">
      <c r="A7" s="1" t="s">
        <v>12</v>
      </c>
      <c r="B7" s="1">
        <v>0.38646897393750201</v>
      </c>
      <c r="C7" s="1">
        <v>1.4845336497847099</v>
      </c>
      <c r="D7" s="1">
        <v>-1.09572408510595E-3</v>
      </c>
      <c r="E7" s="2">
        <v>-5.89400129811551E-5</v>
      </c>
      <c r="F7" s="1">
        <v>3.0592330668630501</v>
      </c>
      <c r="G7" s="1">
        <v>61.458935990008897</v>
      </c>
      <c r="H7" s="1">
        <v>5.7857693655743601E-4</v>
      </c>
    </row>
    <row r="8" spans="1:8" ht="42.75">
      <c r="A8" s="1" t="s">
        <v>13</v>
      </c>
      <c r="B8" s="1">
        <v>0.38820632020412599</v>
      </c>
      <c r="C8" s="1">
        <v>1.4845506138856599</v>
      </c>
      <c r="D8" s="1">
        <v>-1.13127563346766E-3</v>
      </c>
      <c r="E8" s="2">
        <v>-5.39990017829683E-5</v>
      </c>
      <c r="F8" s="1">
        <v>2.8078625870111198</v>
      </c>
      <c r="G8" s="1">
        <v>61.410458831613397</v>
      </c>
      <c r="H8" s="1">
        <v>6.43399693013518E-4</v>
      </c>
    </row>
    <row r="9" spans="1:8" ht="42.75">
      <c r="A9" s="1" t="s">
        <v>14</v>
      </c>
      <c r="B9" s="1">
        <v>0.391100077546855</v>
      </c>
      <c r="C9" s="1">
        <v>1.4854392248277599</v>
      </c>
      <c r="D9" s="1">
        <v>-1.3989463873914599E-3</v>
      </c>
      <c r="E9" s="2">
        <v>6.1726508546467696E-7</v>
      </c>
      <c r="F9" s="1">
        <v>3.3154314210110098</v>
      </c>
      <c r="G9" s="1">
        <v>63.433519581560802</v>
      </c>
      <c r="H9" s="1">
        <v>1.1512890755253E-3</v>
      </c>
    </row>
    <row r="10" spans="1:8" ht="42.75">
      <c r="A10" s="1" t="s">
        <v>15</v>
      </c>
      <c r="B10" s="1">
        <v>0.37812534333091802</v>
      </c>
      <c r="C10" s="1">
        <v>1.48420988493761</v>
      </c>
      <c r="D10" s="1">
        <v>-9.8591795740126591E-4</v>
      </c>
      <c r="E10" s="2">
        <v>-6.8577069492968703E-5</v>
      </c>
      <c r="F10" s="1">
        <v>3.06362215736746</v>
      </c>
      <c r="G10" s="1">
        <v>61.424360450010603</v>
      </c>
      <c r="H10" s="1">
        <v>5.7857693431707696E-4</v>
      </c>
    </row>
    <row r="11" spans="1:8" ht="42.75">
      <c r="A11" s="1" t="s">
        <v>16</v>
      </c>
      <c r="B11" s="1">
        <v>0.38449528426413199</v>
      </c>
      <c r="C11" s="1">
        <v>1.4846546239851801</v>
      </c>
      <c r="D11" s="1">
        <v>-1.4726402124876699E-3</v>
      </c>
      <c r="E11" s="2">
        <v>1.2774295622833399E-5</v>
      </c>
      <c r="F11" s="1">
        <v>2.5662855762536898</v>
      </c>
      <c r="G11" s="1">
        <v>61.430305670004302</v>
      </c>
      <c r="H11" s="1">
        <v>5.7857693431745795E-4</v>
      </c>
    </row>
    <row r="12" spans="1:8" ht="42.75">
      <c r="A12" s="1" t="s">
        <v>17</v>
      </c>
      <c r="B12" s="1">
        <v>0.38779470041263903</v>
      </c>
      <c r="C12" s="1">
        <v>1.4843090766025</v>
      </c>
      <c r="D12" s="1">
        <v>-1.5625333950009201E-3</v>
      </c>
      <c r="E12" s="2">
        <v>2.53366754048281E-5</v>
      </c>
      <c r="F12" s="1">
        <v>2.5633325966549299</v>
      </c>
      <c r="G12" s="1">
        <v>61.405457670584397</v>
      </c>
      <c r="H12" s="1">
        <v>5.7906808430909797E-4</v>
      </c>
    </row>
    <row r="13" spans="1:8" ht="42.75">
      <c r="A13" s="1" t="s">
        <v>18</v>
      </c>
      <c r="B13" s="1">
        <v>0.37824803542534602</v>
      </c>
      <c r="C13" s="1">
        <v>1.4836975393277401</v>
      </c>
      <c r="D13" s="1">
        <v>-2.1447906871209601E-3</v>
      </c>
      <c r="E13" s="1">
        <v>1.42899271591477E-4</v>
      </c>
      <c r="F13" s="1">
        <v>1.8100047855000401</v>
      </c>
      <c r="G13" s="1">
        <v>61.425917220018199</v>
      </c>
      <c r="H13" s="1">
        <v>5.7857693460873895E-4</v>
      </c>
    </row>
    <row r="14" spans="1:8" ht="42.75">
      <c r="A14" s="1" t="s">
        <v>19</v>
      </c>
      <c r="B14" s="1">
        <v>0.388322173460803</v>
      </c>
      <c r="C14" s="1">
        <v>1.48309107983707</v>
      </c>
      <c r="D14" s="1">
        <v>-1.2981348973399099E-3</v>
      </c>
      <c r="E14" s="2">
        <v>-7.3336441564362796E-5</v>
      </c>
      <c r="F14" s="1">
        <v>1.2804286874771</v>
      </c>
      <c r="G14" s="1">
        <v>63.428015169997899</v>
      </c>
      <c r="H14" s="1">
        <v>1.1571538686084E-3</v>
      </c>
    </row>
    <row r="15" spans="1:8" ht="42.75">
      <c r="A15" s="1" t="s">
        <v>20</v>
      </c>
      <c r="B15" s="1">
        <v>0.39882150256402099</v>
      </c>
      <c r="C15" s="1">
        <v>1.4831024185505199</v>
      </c>
      <c r="D15" s="1">
        <v>-1.4903719055390399E-3</v>
      </c>
      <c r="E15" s="2">
        <v>1.76172535139362E-5</v>
      </c>
      <c r="F15" s="1">
        <v>2.3186059019949301</v>
      </c>
      <c r="G15" s="1">
        <v>63.420744939986797</v>
      </c>
      <c r="H15" s="1">
        <v>1.1571538686196399E-3</v>
      </c>
    </row>
    <row r="16" spans="1:8" ht="42.75">
      <c r="A16" s="1" t="s">
        <v>21</v>
      </c>
      <c r="B16" s="1">
        <v>0.38881861759339797</v>
      </c>
      <c r="C16" s="1">
        <v>1.4836724052264101</v>
      </c>
      <c r="D16" s="1">
        <v>-8.5906880509088995E-4</v>
      </c>
      <c r="E16" s="2">
        <v>-8.91358415987863E-5</v>
      </c>
      <c r="F16" s="1">
        <v>3.0669169038061801</v>
      </c>
      <c r="G16" s="1">
        <v>63.421595138818503</v>
      </c>
      <c r="H16" s="1">
        <v>1.15715386790713E-3</v>
      </c>
    </row>
    <row r="17" spans="1:8" ht="42.75">
      <c r="A17" s="1" t="s">
        <v>22</v>
      </c>
      <c r="B17" s="1">
        <v>0.38168078365716102</v>
      </c>
      <c r="C17" s="1">
        <v>1.48245243868853</v>
      </c>
      <c r="D17" s="1">
        <v>-1.9738324303088801E-3</v>
      </c>
      <c r="E17" s="1">
        <v>1.48118663739377E-4</v>
      </c>
      <c r="F17" s="1">
        <v>1.82468938895384</v>
      </c>
      <c r="G17" s="1">
        <v>61.416826736685799</v>
      </c>
      <c r="H17" s="1">
        <v>6.3558720640955802E-4</v>
      </c>
    </row>
    <row r="18" spans="1:8" ht="42.75">
      <c r="A18" s="1" t="s">
        <v>23</v>
      </c>
      <c r="B18" s="1">
        <v>0.39254780032303299</v>
      </c>
      <c r="C18" s="1">
        <v>1.4826680808711501</v>
      </c>
      <c r="D18" s="1">
        <v>-1.42373444154237E-3</v>
      </c>
      <c r="E18" s="2">
        <v>6.1447219360036699E-6</v>
      </c>
      <c r="F18" s="1">
        <v>2.3148852261039101</v>
      </c>
      <c r="G18" s="1">
        <v>63.4321513851337</v>
      </c>
      <c r="H18" s="1">
        <v>1.15715386606004E-3</v>
      </c>
    </row>
    <row r="19" spans="1:8" ht="42.75">
      <c r="A19" s="1" t="s">
        <v>24</v>
      </c>
      <c r="B19" s="1">
        <v>0.38860291038577099</v>
      </c>
      <c r="C19" s="1">
        <v>1.4854613385962101</v>
      </c>
      <c r="D19" s="1">
        <v>-1.5149028501038901E-3</v>
      </c>
      <c r="E19" s="2">
        <v>3.8792642770549997E-6</v>
      </c>
      <c r="F19" s="1">
        <v>2.5628866588624399</v>
      </c>
      <c r="G19" s="1">
        <v>63.442300896795302</v>
      </c>
      <c r="H19" s="1">
        <v>1.1571390461673999E-3</v>
      </c>
    </row>
    <row r="20" spans="1:8" ht="42.75">
      <c r="A20" s="1" t="s">
        <v>25</v>
      </c>
      <c r="B20" s="1">
        <v>0.381832928937616</v>
      </c>
      <c r="C20" s="1">
        <v>1.4847631686204199</v>
      </c>
      <c r="D20" s="1">
        <v>-1.7771097451962899E-3</v>
      </c>
      <c r="E20" s="2">
        <v>4.3267764457533399E-5</v>
      </c>
      <c r="F20" s="1">
        <v>2.5615262519667601</v>
      </c>
      <c r="G20" s="1">
        <v>61.452271060046201</v>
      </c>
      <c r="H20" s="1">
        <v>5.7857693431695304E-4</v>
      </c>
    </row>
    <row r="21" spans="1:8" ht="42.75">
      <c r="A21" s="1" t="s">
        <v>26</v>
      </c>
      <c r="B21" s="1">
        <v>0.37399925074352303</v>
      </c>
      <c r="C21" s="1">
        <v>1.4853469242862301</v>
      </c>
      <c r="D21" s="1">
        <v>-1.4934144697666099E-3</v>
      </c>
      <c r="E21" s="2">
        <v>3.1346279932709501E-5</v>
      </c>
      <c r="F21" s="1">
        <v>2.8158161600481</v>
      </c>
      <c r="G21" s="1">
        <v>61.465988640001697</v>
      </c>
      <c r="H21" s="1">
        <v>5.7857693431711003E-4</v>
      </c>
    </row>
    <row r="22" spans="1:8" ht="42.75">
      <c r="A22" s="1" t="s">
        <v>27</v>
      </c>
      <c r="B22" s="1">
        <v>0.391344107724999</v>
      </c>
      <c r="C22" s="1">
        <v>1.4863049084100199</v>
      </c>
      <c r="D22" s="1">
        <v>-1.6884793599640101E-3</v>
      </c>
      <c r="E22" s="2">
        <v>4.9440287294651503E-5</v>
      </c>
      <c r="F22" s="1">
        <v>2.5587097522209001</v>
      </c>
      <c r="G22" s="1">
        <v>61.474231986833303</v>
      </c>
      <c r="H22" s="1">
        <v>6.1078119799516997E-4</v>
      </c>
    </row>
    <row r="23" spans="1:8" ht="42.75">
      <c r="A23" s="1" t="s">
        <v>28</v>
      </c>
      <c r="B23" s="1">
        <v>0.39401793952400199</v>
      </c>
      <c r="C23" s="1">
        <v>1.48570881320865</v>
      </c>
      <c r="D23" s="1">
        <v>-1.1717898053942E-3</v>
      </c>
      <c r="E23" s="2">
        <v>-3.0965558330159103E-5</v>
      </c>
      <c r="F23" s="1">
        <v>3.0202621738343698</v>
      </c>
      <c r="G23" s="1">
        <v>63.4511369499997</v>
      </c>
      <c r="H23" s="1">
        <v>1.1571538686334501E-3</v>
      </c>
    </row>
    <row r="24" spans="1:8" ht="42.75">
      <c r="A24" s="1" t="s">
        <v>29</v>
      </c>
      <c r="B24" s="1">
        <v>0.37236684560932298</v>
      </c>
      <c r="C24" s="1">
        <v>1.48443598832473</v>
      </c>
      <c r="D24" s="1">
        <v>6.0032452914508903E-4</v>
      </c>
      <c r="E24" s="1">
        <v>-3.1227422912767302E-4</v>
      </c>
      <c r="F24" s="1">
        <v>2.5622896089593699</v>
      </c>
      <c r="G24" s="1">
        <v>61.435149929999902</v>
      </c>
      <c r="H24" s="1">
        <v>5.7857693446708197E-4</v>
      </c>
    </row>
    <row r="25" spans="1:8" ht="42.75">
      <c r="A25" s="1" t="s">
        <v>30</v>
      </c>
      <c r="B25" s="1">
        <v>0.398157579716993</v>
      </c>
      <c r="C25" s="1">
        <v>1.48710641337002</v>
      </c>
      <c r="D25" s="1">
        <v>-1.6634857344520501E-3</v>
      </c>
      <c r="E25" s="2">
        <v>4.85413898081714E-5</v>
      </c>
      <c r="F25" s="1">
        <v>2.5709266468787701</v>
      </c>
      <c r="G25" s="1">
        <v>63.437356499841101</v>
      </c>
      <c r="H25" s="1">
        <v>1.15715386861533E-3</v>
      </c>
    </row>
    <row r="26" spans="1:8" ht="42.75">
      <c r="A26" s="1" t="s">
        <v>31</v>
      </c>
      <c r="B26" s="1">
        <v>0.38710256673105198</v>
      </c>
      <c r="C26" s="1">
        <v>1.4862231336915399</v>
      </c>
      <c r="D26" s="1">
        <v>-7.2219562726808201E-4</v>
      </c>
      <c r="E26" s="1">
        <v>-1.2722889104584701E-4</v>
      </c>
      <c r="F26" s="1">
        <v>2.81828164832238</v>
      </c>
      <c r="G26" s="1">
        <v>61.484823260261599</v>
      </c>
      <c r="H26" s="1">
        <v>8.5188758254897397E-4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H19"/>
  <sheetViews>
    <sheetView workbookViewId="0">
      <selection activeCell="A11" sqref="A11:B11"/>
    </sheetView>
  </sheetViews>
  <sheetFormatPr defaultRowHeight="14.2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</row>
    <row r="2" spans="1:8" ht="42.75">
      <c r="A2" s="1" t="s">
        <v>7</v>
      </c>
      <c r="B2" s="1">
        <v>18.481531830496198</v>
      </c>
      <c r="C2" s="1">
        <v>1.3031919580704601</v>
      </c>
      <c r="D2" s="1">
        <v>-4.2921585440594996E-3</v>
      </c>
      <c r="E2" s="1">
        <v>2.0462053616348999</v>
      </c>
      <c r="F2" s="1">
        <v>61.667095510764703</v>
      </c>
      <c r="G2" s="1">
        <v>2.2873004962394999E-3</v>
      </c>
      <c r="H2" s="1"/>
    </row>
    <row r="3" spans="1:8" ht="42.75">
      <c r="A3" s="1" t="s">
        <v>10</v>
      </c>
      <c r="B3" s="1">
        <v>18.346083770183299</v>
      </c>
      <c r="C3" s="1">
        <v>1.31226951722258</v>
      </c>
      <c r="D3" s="1">
        <v>-3.7175367167505201E-3</v>
      </c>
      <c r="E3" s="1">
        <v>2.0461175095284498</v>
      </c>
      <c r="F3" s="1">
        <v>61.456946870183998</v>
      </c>
      <c r="G3" s="1">
        <v>2.2873004957014199E-3</v>
      </c>
      <c r="H3" s="1"/>
    </row>
    <row r="4" spans="1:8" ht="42.75">
      <c r="A4" s="1" t="s">
        <v>11</v>
      </c>
      <c r="B4" s="1">
        <v>18.452491695077299</v>
      </c>
      <c r="C4" s="1">
        <v>1.3016766002665501</v>
      </c>
      <c r="D4" s="1">
        <v>-3.73542483486117E-3</v>
      </c>
      <c r="E4" s="1">
        <v>2.0456241561700201</v>
      </c>
      <c r="F4" s="1">
        <v>61.433029490012999</v>
      </c>
      <c r="G4" s="1">
        <v>2.28730049570156E-3</v>
      </c>
      <c r="H4" s="1"/>
    </row>
    <row r="5" spans="1:8" ht="42.75">
      <c r="A5" s="1" t="s">
        <v>12</v>
      </c>
      <c r="B5" s="1">
        <v>18.351915434355199</v>
      </c>
      <c r="C5" s="1">
        <v>1.3119130137301001</v>
      </c>
      <c r="D5" s="1">
        <v>-3.4828361627909001E-3</v>
      </c>
      <c r="E5" s="1">
        <v>2.04550415927755</v>
      </c>
      <c r="F5" s="1">
        <v>61.436351740026403</v>
      </c>
      <c r="G5" s="1">
        <v>2.2873004957271398E-3</v>
      </c>
      <c r="H5" s="1"/>
    </row>
    <row r="6" spans="1:8" ht="42.75">
      <c r="A6" s="1" t="s">
        <v>13</v>
      </c>
      <c r="B6" s="1">
        <v>18.337397032620899</v>
      </c>
      <c r="C6" s="1">
        <v>1.31284104455171</v>
      </c>
      <c r="D6" s="1">
        <v>-3.4858706108826299E-3</v>
      </c>
      <c r="E6" s="1">
        <v>2.0451683508351399</v>
      </c>
      <c r="F6" s="1">
        <v>62.4453617575438</v>
      </c>
      <c r="G6" s="1">
        <v>2.2873393531187402E-3</v>
      </c>
      <c r="H6" s="1"/>
    </row>
    <row r="7" spans="1:8" ht="42.75">
      <c r="A7" s="1" t="s">
        <v>14</v>
      </c>
      <c r="B7" s="1">
        <v>18.232394257417202</v>
      </c>
      <c r="C7" s="1">
        <v>1.3122772483674101</v>
      </c>
      <c r="D7" s="1">
        <v>-3.6338642115214502E-3</v>
      </c>
      <c r="E7" s="1">
        <v>2.0452517945961901</v>
      </c>
      <c r="F7" s="1">
        <v>61.408496520226997</v>
      </c>
      <c r="G7" s="1">
        <v>2.2873004957104201E-3</v>
      </c>
      <c r="H7" s="1"/>
    </row>
    <row r="8" spans="1:8" ht="42.75">
      <c r="A8" s="1" t="s">
        <v>15</v>
      </c>
      <c r="B8" s="1">
        <v>18.415074041865601</v>
      </c>
      <c r="C8" s="1">
        <v>1.30571200506162</v>
      </c>
      <c r="D8" s="1">
        <v>-3.7326451744858101E-3</v>
      </c>
      <c r="E8" s="1">
        <v>2.0440885247093101</v>
      </c>
      <c r="F8" s="1">
        <v>62.003311148223197</v>
      </c>
      <c r="G8" s="1">
        <v>2.2873005694846E-3</v>
      </c>
      <c r="H8" s="1"/>
    </row>
    <row r="9" spans="1:8" ht="42.75">
      <c r="A9" s="1" t="s">
        <v>16</v>
      </c>
      <c r="B9" s="1">
        <v>18.341941017083698</v>
      </c>
      <c r="C9" s="1">
        <v>1.31065885505775</v>
      </c>
      <c r="D9" s="1">
        <v>-3.1792386122048901E-3</v>
      </c>
      <c r="E9" s="1">
        <v>2.04479167830335</v>
      </c>
      <c r="F9" s="1">
        <v>61.431934051649499</v>
      </c>
      <c r="G9" s="1">
        <v>2.2873004979132301E-3</v>
      </c>
      <c r="H9" s="1"/>
    </row>
    <row r="10" spans="1:8" ht="42.75">
      <c r="A10" s="1" t="s">
        <v>17</v>
      </c>
      <c r="B10" s="1">
        <v>18.237027996635099</v>
      </c>
      <c r="C10" s="1">
        <v>1.3074337516746599</v>
      </c>
      <c r="D10" s="1">
        <v>-2.3944196408446799E-3</v>
      </c>
      <c r="E10" s="1">
        <v>2.0439953551461998</v>
      </c>
      <c r="F10" s="1">
        <v>61.393541850012497</v>
      </c>
      <c r="G10" s="1">
        <v>2.2873004957077799E-3</v>
      </c>
      <c r="H10" s="1"/>
    </row>
    <row r="11" spans="1:8" ht="42.75">
      <c r="A11" s="1" t="s">
        <v>18</v>
      </c>
      <c r="B11" s="1">
        <v>18.531243546545401</v>
      </c>
      <c r="C11" s="1">
        <v>1.3091920024515999</v>
      </c>
      <c r="D11" s="1">
        <v>-5.52753358363944E-3</v>
      </c>
      <c r="E11" s="1">
        <v>2.0445211363359701</v>
      </c>
      <c r="F11" s="1">
        <v>61.429015190063097</v>
      </c>
      <c r="G11" s="1">
        <v>2.2873004958123598E-3</v>
      </c>
      <c r="H11" s="1"/>
    </row>
    <row r="12" spans="1:8" ht="42.75">
      <c r="A12" s="1" t="s">
        <v>19</v>
      </c>
      <c r="B12" s="1">
        <v>18.412716855394802</v>
      </c>
      <c r="C12" s="1">
        <v>1.3018975921603</v>
      </c>
      <c r="D12" s="1">
        <v>-3.45675940309717E-3</v>
      </c>
      <c r="E12" s="1">
        <v>2.0449121779589801</v>
      </c>
      <c r="F12" s="1">
        <v>61.440501730080499</v>
      </c>
      <c r="G12" s="1">
        <v>2.2873004957018701E-3</v>
      </c>
      <c r="H12" s="1"/>
    </row>
    <row r="13" spans="1:8" ht="42.75">
      <c r="A13" s="1" t="s">
        <v>21</v>
      </c>
      <c r="B13" s="1">
        <v>18.4923898758226</v>
      </c>
      <c r="C13" s="1">
        <v>1.30104981653047</v>
      </c>
      <c r="D13" s="1">
        <v>-4.4188151302492996E-3</v>
      </c>
      <c r="E13" s="1">
        <v>2.04280768036101</v>
      </c>
      <c r="F13" s="1">
        <v>61.438899345615802</v>
      </c>
      <c r="G13" s="1">
        <v>2.2873004957409799E-3</v>
      </c>
      <c r="H13" s="1"/>
    </row>
    <row r="14" spans="1:8" ht="42.75">
      <c r="A14" s="1" t="s">
        <v>23</v>
      </c>
      <c r="B14" s="1">
        <v>18.515382021503999</v>
      </c>
      <c r="C14" s="1">
        <v>1.2980546539443101</v>
      </c>
      <c r="D14" s="1">
        <v>-4.2489846447984298E-3</v>
      </c>
      <c r="E14" s="1">
        <v>2.0435702886091498</v>
      </c>
      <c r="F14" s="1">
        <v>63.427662512490897</v>
      </c>
      <c r="G14" s="1">
        <v>2.4737822701726901E-3</v>
      </c>
      <c r="H14" s="1"/>
    </row>
    <row r="15" spans="1:8" ht="42.75">
      <c r="A15" s="1" t="s">
        <v>24</v>
      </c>
      <c r="B15" s="1">
        <v>18.391192672959299</v>
      </c>
      <c r="C15" s="1">
        <v>1.3116427902969101</v>
      </c>
      <c r="D15" s="1">
        <v>-5.4922690938082304E-3</v>
      </c>
      <c r="E15" s="1">
        <v>2.0441359850431602</v>
      </c>
      <c r="F15" s="1">
        <v>63.454965499951399</v>
      </c>
      <c r="G15" s="1">
        <v>2.9038798973330501E-3</v>
      </c>
      <c r="H15" s="1"/>
    </row>
    <row r="16" spans="1:8" ht="42.75">
      <c r="A16" s="1" t="s">
        <v>27</v>
      </c>
      <c r="B16" s="1">
        <v>18.551612310419799</v>
      </c>
      <c r="C16" s="1">
        <v>1.31202971880422</v>
      </c>
      <c r="D16" s="1">
        <v>-3.7295976757757399E-3</v>
      </c>
      <c r="E16" s="1">
        <v>2.0439886422010498</v>
      </c>
      <c r="F16" s="1">
        <v>61.4534016300017</v>
      </c>
      <c r="G16" s="1">
        <v>2.2873004995547998E-3</v>
      </c>
      <c r="H16" s="1"/>
    </row>
    <row r="17" spans="1:8" ht="42.75">
      <c r="A17" s="1" t="s">
        <v>28</v>
      </c>
      <c r="B17" s="1">
        <v>18.393990200449998</v>
      </c>
      <c r="C17" s="1">
        <v>1.3079214890741699</v>
      </c>
      <c r="D17" s="1">
        <v>-3.9500831369785796E-3</v>
      </c>
      <c r="E17" s="1">
        <v>2.0440625322775499</v>
      </c>
      <c r="F17" s="1">
        <v>61.465080430051501</v>
      </c>
      <c r="G17" s="1">
        <v>2.2873004957177901E-3</v>
      </c>
      <c r="H17" s="1"/>
    </row>
    <row r="18" spans="1:8" ht="42.75">
      <c r="A18" s="1" t="s">
        <v>30</v>
      </c>
      <c r="B18" s="1">
        <v>18.450034969079201</v>
      </c>
      <c r="C18" s="1">
        <v>1.3191404278508101</v>
      </c>
      <c r="D18" s="1">
        <v>-3.0850624242598E-3</v>
      </c>
      <c r="E18" s="1">
        <v>2.0431510042591801</v>
      </c>
      <c r="F18" s="1">
        <v>61.436248848364798</v>
      </c>
      <c r="G18" s="1">
        <v>2.3277071530413899E-3</v>
      </c>
      <c r="H18" s="1"/>
    </row>
    <row r="19" spans="1:8" ht="42.75">
      <c r="A19" s="1" t="s">
        <v>31</v>
      </c>
      <c r="B19" s="1">
        <v>18.408277105199002</v>
      </c>
      <c r="C19" s="1">
        <v>1.31657905173137</v>
      </c>
      <c r="D19" s="1">
        <v>-3.6603385518176402E-3</v>
      </c>
      <c r="E19" s="1">
        <v>2.0422330549182002</v>
      </c>
      <c r="F19" s="1">
        <v>63.491619434208999</v>
      </c>
      <c r="G19" s="1">
        <v>2.6319330462526601E-3</v>
      </c>
      <c r="H1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I19"/>
  <sheetViews>
    <sheetView tabSelected="1" workbookViewId="0">
      <selection activeCell="I5" sqref="I5"/>
    </sheetView>
  </sheetViews>
  <sheetFormatPr defaultRowHeight="14.25"/>
  <sheetData>
    <row r="1" spans="1:9">
      <c r="A1" s="1" t="s">
        <v>0</v>
      </c>
      <c r="B1" s="1" t="s">
        <v>1</v>
      </c>
      <c r="C1" s="1" t="s">
        <v>0</v>
      </c>
      <c r="D1" s="1" t="s">
        <v>1</v>
      </c>
      <c r="H1">
        <v>456</v>
      </c>
      <c r="I1">
        <v>894</v>
      </c>
    </row>
    <row r="2" spans="1:9" ht="42.75">
      <c r="A2" s="1" t="s">
        <v>7</v>
      </c>
      <c r="B2" s="1">
        <v>0.39075425090921301</v>
      </c>
      <c r="C2" s="1" t="s">
        <v>7</v>
      </c>
      <c r="D2" s="1">
        <v>18.481531830496198</v>
      </c>
      <c r="G2" t="s">
        <v>33</v>
      </c>
      <c r="H2">
        <f>AVERAGE(B2:B19)</f>
        <v>0.38814706418609157</v>
      </c>
      <c r="I2">
        <f>AVERAGE(D2:D19)</f>
        <v>18.407927590728249</v>
      </c>
    </row>
    <row r="3" spans="1:9" ht="42.75">
      <c r="A3" s="1" t="s">
        <v>10</v>
      </c>
      <c r="B3" s="1">
        <v>0.39090251610402299</v>
      </c>
      <c r="C3" s="1" t="s">
        <v>10</v>
      </c>
      <c r="D3" s="1">
        <v>18.346083770183299</v>
      </c>
      <c r="G3" t="s">
        <v>34</v>
      </c>
      <c r="H3">
        <f>_xlfn.STDEV.S(B2:B19)</f>
        <v>5.1233545996458426E-3</v>
      </c>
      <c r="I3">
        <f>_xlfn.STDEV.S(D2:D19)</f>
        <v>9.0932068938100047E-2</v>
      </c>
    </row>
    <row r="4" spans="1:9" ht="42.75">
      <c r="A4" s="1" t="s">
        <v>11</v>
      </c>
      <c r="B4" s="1">
        <v>0.38163793874347302</v>
      </c>
      <c r="C4" s="1" t="s">
        <v>11</v>
      </c>
      <c r="D4" s="1">
        <v>18.452491695077299</v>
      </c>
      <c r="H4">
        <f>H3/H2/SQRT(COUNT(B2:B19))</f>
        <v>3.1111564954806109E-3</v>
      </c>
      <c r="I4">
        <f>I3/I2/SQRT(COUNT(D2:D19))</f>
        <v>1.1643295577687099E-3</v>
      </c>
    </row>
    <row r="5" spans="1:9" ht="42.75">
      <c r="A5" s="1" t="s">
        <v>12</v>
      </c>
      <c r="B5" s="1">
        <v>0.38646897393750201</v>
      </c>
      <c r="C5" s="1" t="s">
        <v>12</v>
      </c>
      <c r="D5" s="1">
        <v>18.351915434355199</v>
      </c>
    </row>
    <row r="6" spans="1:9" ht="42.75">
      <c r="A6" s="1" t="s">
        <v>13</v>
      </c>
      <c r="B6" s="1">
        <v>0.38820632020412599</v>
      </c>
      <c r="C6" s="1" t="s">
        <v>13</v>
      </c>
      <c r="D6" s="1">
        <v>18.337397032620899</v>
      </c>
    </row>
    <row r="7" spans="1:9" ht="42.75">
      <c r="A7" s="1" t="s">
        <v>14</v>
      </c>
      <c r="B7" s="1">
        <v>0.391100077546855</v>
      </c>
      <c r="C7" s="1" t="s">
        <v>14</v>
      </c>
      <c r="D7" s="1">
        <v>18.232394257417202</v>
      </c>
    </row>
    <row r="8" spans="1:9" ht="42.75">
      <c r="A8" s="1" t="s">
        <v>15</v>
      </c>
      <c r="B8" s="1">
        <v>0.37812534333091802</v>
      </c>
      <c r="C8" s="1" t="s">
        <v>15</v>
      </c>
      <c r="D8" s="1">
        <v>18.415074041865601</v>
      </c>
    </row>
    <row r="9" spans="1:9" ht="42.75">
      <c r="A9" s="1" t="s">
        <v>16</v>
      </c>
      <c r="B9" s="1">
        <v>0.38449528426413199</v>
      </c>
      <c r="C9" s="1" t="s">
        <v>16</v>
      </c>
      <c r="D9" s="1">
        <v>18.341941017083698</v>
      </c>
    </row>
    <row r="10" spans="1:9" ht="42.75">
      <c r="A10" s="1" t="s">
        <v>17</v>
      </c>
      <c r="B10" s="1">
        <v>0.38779470041263903</v>
      </c>
      <c r="C10" s="1" t="s">
        <v>17</v>
      </c>
      <c r="D10" s="1">
        <v>18.237027996635099</v>
      </c>
    </row>
    <row r="11" spans="1:9" ht="42.75">
      <c r="A11" s="1" t="s">
        <v>18</v>
      </c>
      <c r="B11" s="1">
        <v>0.378248054436716</v>
      </c>
      <c r="C11" s="1" t="s">
        <v>18</v>
      </c>
      <c r="D11" s="1">
        <v>18.531243546545401</v>
      </c>
    </row>
    <row r="12" spans="1:9" ht="42.75">
      <c r="A12" s="1" t="s">
        <v>19</v>
      </c>
      <c r="B12" s="1">
        <v>0.388322173460803</v>
      </c>
      <c r="C12" s="1" t="s">
        <v>19</v>
      </c>
      <c r="D12" s="1">
        <v>18.412716855394802</v>
      </c>
    </row>
    <row r="13" spans="1:9" ht="42.75">
      <c r="A13" s="1" t="s">
        <v>21</v>
      </c>
      <c r="B13" s="1">
        <v>0.38881861759339797</v>
      </c>
      <c r="C13" s="1" t="s">
        <v>21</v>
      </c>
      <c r="D13" s="1">
        <v>18.4923898758226</v>
      </c>
    </row>
    <row r="14" spans="1:9" ht="42.75">
      <c r="A14" s="1" t="s">
        <v>23</v>
      </c>
      <c r="B14" s="1">
        <v>0.39254780032303299</v>
      </c>
      <c r="C14" s="1" t="s">
        <v>23</v>
      </c>
      <c r="D14" s="1">
        <v>18.515382021503999</v>
      </c>
    </row>
    <row r="15" spans="1:9" ht="42.75">
      <c r="A15" s="1" t="s">
        <v>24</v>
      </c>
      <c r="B15" s="1">
        <v>0.38860291038577099</v>
      </c>
      <c r="C15" s="1" t="s">
        <v>24</v>
      </c>
      <c r="D15" s="1">
        <v>18.391192672959299</v>
      </c>
    </row>
    <row r="16" spans="1:9" ht="42.75">
      <c r="A16" s="1" t="s">
        <v>27</v>
      </c>
      <c r="B16" s="1">
        <v>0.391344107724999</v>
      </c>
      <c r="C16" s="1" t="s">
        <v>27</v>
      </c>
      <c r="D16" s="1">
        <v>18.551612310419799</v>
      </c>
    </row>
    <row r="17" spans="1:4" ht="42.75">
      <c r="A17" s="1" t="s">
        <v>28</v>
      </c>
      <c r="B17" s="1">
        <v>0.39401793952400199</v>
      </c>
      <c r="C17" s="1" t="s">
        <v>28</v>
      </c>
      <c r="D17" s="1">
        <v>18.393990200449998</v>
      </c>
    </row>
    <row r="18" spans="1:4" ht="42.75">
      <c r="A18" s="1" t="s">
        <v>30</v>
      </c>
      <c r="B18" s="1">
        <v>0.398157579716993</v>
      </c>
      <c r="C18" s="1" t="s">
        <v>30</v>
      </c>
      <c r="D18" s="1">
        <v>18.450034969079201</v>
      </c>
    </row>
    <row r="19" spans="1:4" ht="42.75">
      <c r="A19" s="1" t="s">
        <v>31</v>
      </c>
      <c r="B19" s="1">
        <v>0.38710256673105198</v>
      </c>
      <c r="C19" s="1" t="s">
        <v>31</v>
      </c>
      <c r="D19" s="1">
        <v>18.408277105199002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456</vt:lpstr>
      <vt:lpstr>894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2026-06-25T00:34:52Z</dcterms:modified>
</cp:coreProperties>
</file>