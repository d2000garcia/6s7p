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May28,2026\"/>
    </mc:Choice>
  </mc:AlternateContent>
  <xr:revisionPtr revIDLastSave="0" documentId="13_ncr:1_{FFF9AE08-634A-4F8A-A13C-3B1037E19C9C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H3" i="3"/>
  <c r="H4" i="3"/>
  <c r="G3" i="3"/>
  <c r="G2" i="3"/>
  <c r="G4" i="3" l="1"/>
</calcChain>
</file>

<file path=xl/sharedStrings.xml><?xml version="1.0" encoding="utf-8"?>
<sst xmlns="http://schemas.openxmlformats.org/spreadsheetml/2006/main" count="74" uniqueCount="28">
  <si>
    <t>Date</t>
  </si>
  <si>
    <t>Alpha</t>
  </si>
  <si>
    <t>P0</t>
  </si>
  <si>
    <t>h1</t>
  </si>
  <si>
    <t>mv</t>
  </si>
  <si>
    <t>T</t>
  </si>
  <si>
    <t>gamma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</si>
  <si>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</si>
  <si>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</si>
  <si>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</si>
  <si>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</si>
  <si>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</si>
  <si>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</si>
  <si>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</si>
  <si>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</si>
  <si>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</si>
  <si>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</si>
  <si>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</si>
  <si>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</si>
  <si>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</si>
  <si>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</si>
  <si>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</si>
  <si>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</si>
  <si>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</si>
  <si>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</si>
  <si>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mean</t>
  </si>
  <si>
    <t>std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</si>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</sst>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26"/>
  <sheetViews>
    <sheetView topLeftCell="A7" zoomScale="99" zoomScaleNormal="99" workbookViewId="0">
      <selection activeCell="A2" sqref="A2:B19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</row>
    <row r="2" spans="1:8" ht="42.75">
      <c r="A2" s="1" t="s">
        <v>7</v>
      </c>
      <c r="B2" s="1">
        <v>0.30390235043574698</v>
      </c>
      <c r="C2" s="1">
        <v>1.48487750627935</v>
      </c>
      <c r="D2" s="1">
        <v>-1.0259315949263401E-3</v>
      </c>
      <c r="E2" s="2">
        <v>-4.6394521161871E-5</v>
      </c>
      <c r="F2" s="1">
        <v>3.5001767880955099</v>
      </c>
      <c r="G2" s="1">
        <v>62.447894969605301</v>
      </c>
      <c r="H2" s="1">
        <v>7.5215458405789005E-4</v>
      </c>
    </row>
    <row r="3" spans="1:8" ht="42.75">
      <c r="A3" s="1" t="s">
        <v>8</v>
      </c>
      <c r="B3" s="1">
        <v>0.30438419283964002</v>
      </c>
      <c r="C3" s="1">
        <v>1.4837879279099899</v>
      </c>
      <c r="D3" s="1">
        <v>-1.57487840653377E-3</v>
      </c>
      <c r="E3" s="2">
        <v>4.0376541549654297E-5</v>
      </c>
      <c r="F3" s="1">
        <v>2.00575085139804</v>
      </c>
      <c r="G3" s="1">
        <v>63.441678149655097</v>
      </c>
      <c r="H3" s="1">
        <v>1.15715386863374E-3</v>
      </c>
    </row>
    <row r="4" spans="1:8" ht="42.75">
      <c r="A4" s="1" t="s">
        <v>9</v>
      </c>
      <c r="B4" s="1">
        <v>0.297161130585052</v>
      </c>
      <c r="C4" s="1">
        <v>1.4832129968194401</v>
      </c>
      <c r="D4" s="1">
        <v>-2.22918801331387E-3</v>
      </c>
      <c r="E4" s="1">
        <v>1.5548819591606699E-4</v>
      </c>
      <c r="F4" s="1">
        <v>2.00141941245752</v>
      </c>
      <c r="G4" s="1">
        <v>61.439773238678399</v>
      </c>
      <c r="H4" s="1">
        <v>5.7857733312214102E-4</v>
      </c>
    </row>
    <row r="5" spans="1:8" ht="42.75">
      <c r="A5" s="1" t="s">
        <v>10</v>
      </c>
      <c r="B5" s="1">
        <v>0.30092447877826201</v>
      </c>
      <c r="C5" s="1">
        <v>1.4845336497847099</v>
      </c>
      <c r="D5" s="1">
        <v>-1.09572408510595E-3</v>
      </c>
      <c r="E5" s="2">
        <v>-5.89400129811551E-5</v>
      </c>
      <c r="F5" s="1">
        <v>2.99810563914619</v>
      </c>
      <c r="G5" s="1">
        <v>61.458936733142899</v>
      </c>
      <c r="H5" s="1">
        <v>5.8142863020411496E-4</v>
      </c>
    </row>
    <row r="6" spans="1:8" ht="42.75">
      <c r="A6" s="1" t="s">
        <v>11</v>
      </c>
      <c r="B6" s="1">
        <v>0.30225556251139701</v>
      </c>
      <c r="C6" s="1">
        <v>1.4845506138856599</v>
      </c>
      <c r="D6" s="1">
        <v>-1.13127563346766E-3</v>
      </c>
      <c r="E6" s="2">
        <v>-5.39990017829683E-5</v>
      </c>
      <c r="F6" s="1">
        <v>2.7467118677007698</v>
      </c>
      <c r="G6" s="1">
        <v>61.447470152952903</v>
      </c>
      <c r="H6" s="1">
        <v>5.7919060686151096E-4</v>
      </c>
    </row>
    <row r="7" spans="1:8" ht="42.75">
      <c r="A7" s="1" t="s">
        <v>12</v>
      </c>
      <c r="B7" s="1">
        <v>0.30453505035585898</v>
      </c>
      <c r="C7" s="1">
        <v>1.4854392248277599</v>
      </c>
      <c r="D7" s="1">
        <v>-1.3989463873914599E-3</v>
      </c>
      <c r="E7" s="2">
        <v>6.1726508546467696E-7</v>
      </c>
      <c r="F7" s="1">
        <v>3.2542985883723099</v>
      </c>
      <c r="G7" s="1">
        <v>63.438473334628</v>
      </c>
      <c r="H7" s="1">
        <v>1.15609543834572E-3</v>
      </c>
    </row>
    <row r="8" spans="1:8" ht="42.75">
      <c r="A8" s="1" t="s">
        <v>13</v>
      </c>
      <c r="B8" s="1">
        <v>0.29441937543381203</v>
      </c>
      <c r="C8" s="1">
        <v>1.48420988493761</v>
      </c>
      <c r="D8" s="1">
        <v>-9.8591795740126591E-4</v>
      </c>
      <c r="E8" s="2">
        <v>-6.8577069492968703E-5</v>
      </c>
      <c r="F8" s="1">
        <v>3.0024737934188601</v>
      </c>
      <c r="G8" s="1">
        <v>61.424360450047203</v>
      </c>
      <c r="H8" s="1">
        <v>5.7857693432255305E-4</v>
      </c>
    </row>
    <row r="9" spans="1:8" ht="42.75">
      <c r="A9" s="1" t="s">
        <v>14</v>
      </c>
      <c r="B9" s="1">
        <v>0.29938049893952201</v>
      </c>
      <c r="C9" s="1">
        <v>1.4846546239851801</v>
      </c>
      <c r="D9" s="1">
        <v>-1.4726402124876699E-3</v>
      </c>
      <c r="E9" s="2">
        <v>1.2774295622833399E-5</v>
      </c>
      <c r="F9" s="1">
        <v>2.5051482864221599</v>
      </c>
      <c r="G9" s="1">
        <v>61.4303056702772</v>
      </c>
      <c r="H9" s="1">
        <v>5.7857693456894797E-4</v>
      </c>
    </row>
    <row r="10" spans="1:8" ht="42.75">
      <c r="A10" s="1" t="s">
        <v>15</v>
      </c>
      <c r="B10" s="1">
        <v>0.30198767465833298</v>
      </c>
      <c r="C10" s="1">
        <v>1.4843090766025</v>
      </c>
      <c r="D10" s="1">
        <v>-1.5625333950009201E-3</v>
      </c>
      <c r="E10" s="2">
        <v>2.53366754048281E-5</v>
      </c>
      <c r="F10" s="1">
        <v>2.5021681326783898</v>
      </c>
      <c r="G10" s="1">
        <v>61.407522204261603</v>
      </c>
      <c r="H10" s="1">
        <v>6.3574155348453002E-4</v>
      </c>
    </row>
    <row r="11" spans="1:8" ht="42.75">
      <c r="A11" s="1" t="s">
        <v>16</v>
      </c>
      <c r="B11" s="1">
        <v>0.29452133244947898</v>
      </c>
      <c r="C11" s="1">
        <v>1.4836975393277401</v>
      </c>
      <c r="D11" s="1">
        <v>-2.1447906871209601E-3</v>
      </c>
      <c r="E11" s="1">
        <v>1.42899271591477E-4</v>
      </c>
      <c r="F11" s="1">
        <v>1.7488369668618899</v>
      </c>
      <c r="G11" s="1">
        <v>61.425917223720099</v>
      </c>
      <c r="H11" s="1">
        <v>5.78576934825183E-4</v>
      </c>
    </row>
    <row r="12" spans="1:8" ht="42.75">
      <c r="A12" s="1" t="s">
        <v>17</v>
      </c>
      <c r="B12" s="1">
        <v>0.30226636207287</v>
      </c>
      <c r="C12" s="1">
        <v>1.48309107983707</v>
      </c>
      <c r="D12" s="1">
        <v>-1.2981348973399099E-3</v>
      </c>
      <c r="E12" s="2">
        <v>-7.3336441564362796E-5</v>
      </c>
      <c r="F12" s="1">
        <v>1.21927768138959</v>
      </c>
      <c r="G12" s="1">
        <v>63.246976221369103</v>
      </c>
      <c r="H12" s="1">
        <v>9.9703814398932893E-4</v>
      </c>
    </row>
    <row r="13" spans="1:8" ht="42.75">
      <c r="A13" s="1" t="s">
        <v>18</v>
      </c>
      <c r="B13" s="1">
        <v>0.30276185184620003</v>
      </c>
      <c r="C13" s="1">
        <v>1.4836724052264101</v>
      </c>
      <c r="D13" s="1">
        <v>-8.5906880509088995E-4</v>
      </c>
      <c r="E13" s="2">
        <v>-8.91358415987863E-5</v>
      </c>
      <c r="F13" s="1">
        <v>3.00577248958141</v>
      </c>
      <c r="G13" s="1">
        <v>63.421595139974698</v>
      </c>
      <c r="H13" s="1">
        <v>1.15715386863381E-3</v>
      </c>
    </row>
    <row r="14" spans="1:8" ht="42.75">
      <c r="A14" s="1" t="s">
        <v>19</v>
      </c>
      <c r="B14" s="1">
        <v>0.30565983998385898</v>
      </c>
      <c r="C14" s="1">
        <v>1.4826680808711501</v>
      </c>
      <c r="D14" s="1">
        <v>-1.42373444154237E-3</v>
      </c>
      <c r="E14" s="2">
        <v>6.1447219360036699E-6</v>
      </c>
      <c r="F14" s="1">
        <v>2.2537703326013299</v>
      </c>
      <c r="G14" s="1">
        <v>63.432151389991503</v>
      </c>
      <c r="H14" s="1">
        <v>1.15715386862106E-3</v>
      </c>
    </row>
    <row r="15" spans="1:8" ht="42.75">
      <c r="A15" s="1" t="s">
        <v>20</v>
      </c>
      <c r="B15" s="1">
        <v>0.30235700258888798</v>
      </c>
      <c r="C15" s="1">
        <v>1.4854613385962101</v>
      </c>
      <c r="D15" s="1">
        <v>-1.5149028501038901E-3</v>
      </c>
      <c r="E15" s="2">
        <v>3.8792642770549997E-6</v>
      </c>
      <c r="F15" s="1">
        <v>2.5017366084783901</v>
      </c>
      <c r="G15" s="1">
        <v>62.178086016031202</v>
      </c>
      <c r="H15" s="1">
        <v>1.11966907210078E-3</v>
      </c>
    </row>
    <row r="16" spans="1:8" ht="42.75">
      <c r="A16" s="1" t="s">
        <v>21</v>
      </c>
      <c r="B16" s="1">
        <v>0.30470031507930101</v>
      </c>
      <c r="C16" s="1">
        <v>1.4863049084100199</v>
      </c>
      <c r="D16" s="1">
        <v>-1.6884793599640101E-3</v>
      </c>
      <c r="E16" s="2">
        <v>4.9440287294651503E-5</v>
      </c>
      <c r="F16" s="1">
        <v>2.4975932300343602</v>
      </c>
      <c r="G16" s="1">
        <v>61.464651999573398</v>
      </c>
      <c r="H16" s="1">
        <v>5.7857693579339104E-4</v>
      </c>
    </row>
    <row r="17" spans="1:8" ht="42.75">
      <c r="A17" s="1" t="s">
        <v>22</v>
      </c>
      <c r="B17" s="1">
        <v>0.30681032275950298</v>
      </c>
      <c r="C17" s="1">
        <v>1.48570881320865</v>
      </c>
      <c r="D17" s="1">
        <v>-1.1717898053942E-3</v>
      </c>
      <c r="E17" s="2">
        <v>-3.0965558330159103E-5</v>
      </c>
      <c r="F17" s="1">
        <v>2.9591559923467998</v>
      </c>
      <c r="G17" s="1">
        <v>63.451136949977403</v>
      </c>
      <c r="H17" s="1">
        <v>1.1571538686330899E-3</v>
      </c>
    </row>
    <row r="18" spans="1:8" ht="42.75">
      <c r="A18" s="1" t="s">
        <v>23</v>
      </c>
      <c r="B18" s="1">
        <v>0.31003085423784599</v>
      </c>
      <c r="C18" s="1">
        <v>1.48710641337002</v>
      </c>
      <c r="D18" s="1">
        <v>-1.6634857344520501E-3</v>
      </c>
      <c r="E18" s="2">
        <v>4.85413898081714E-5</v>
      </c>
      <c r="F18" s="1">
        <v>2.5098234666122301</v>
      </c>
      <c r="G18" s="1">
        <v>63.437356499918003</v>
      </c>
      <c r="H18" s="1">
        <v>1.1571538685425701E-3</v>
      </c>
    </row>
    <row r="19" spans="1:8" ht="42.75">
      <c r="A19" s="1" t="s">
        <v>24</v>
      </c>
      <c r="B19" s="1">
        <v>0.30130891367381502</v>
      </c>
      <c r="C19" s="1">
        <v>1.4862231336915399</v>
      </c>
      <c r="D19" s="1">
        <v>-7.2219562726808201E-4</v>
      </c>
      <c r="E19" s="1">
        <v>-1.2722889104584701E-4</v>
      </c>
      <c r="F19" s="1">
        <v>2.7571262265682899</v>
      </c>
      <c r="G19" s="1">
        <v>61.484922658995899</v>
      </c>
      <c r="H19" s="1">
        <v>6.1429954356389497E-4</v>
      </c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19"/>
  <sheetViews>
    <sheetView workbookViewId="0">
      <selection activeCell="A11" sqref="A11:B11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42.75">
      <c r="A2" s="1" t="s">
        <v>7</v>
      </c>
      <c r="B2" s="1">
        <v>18.481531830496198</v>
      </c>
      <c r="C2" s="1">
        <v>1.3031919580704601</v>
      </c>
      <c r="D2" s="1">
        <v>-4.2921585440594996E-3</v>
      </c>
      <c r="E2" s="1">
        <v>2.0462053616348999</v>
      </c>
      <c r="F2" s="1">
        <v>61.667095510764703</v>
      </c>
      <c r="G2" s="1">
        <v>2.2873004962394999E-3</v>
      </c>
      <c r="H2" s="1"/>
    </row>
    <row r="3" spans="1:8" ht="42.75">
      <c r="A3" s="1" t="s">
        <v>8</v>
      </c>
      <c r="B3" s="1">
        <v>18.346083770183299</v>
      </c>
      <c r="C3" s="1">
        <v>1.31226951722258</v>
      </c>
      <c r="D3" s="1">
        <v>-3.7175367167505201E-3</v>
      </c>
      <c r="E3" s="1">
        <v>2.0461175095284498</v>
      </c>
      <c r="F3" s="1">
        <v>61.456946870183998</v>
      </c>
      <c r="G3" s="1">
        <v>2.2873004957014199E-3</v>
      </c>
      <c r="H3" s="1"/>
    </row>
    <row r="4" spans="1:8" ht="42.75">
      <c r="A4" s="1" t="s">
        <v>9</v>
      </c>
      <c r="B4" s="1">
        <v>18.452491695077299</v>
      </c>
      <c r="C4" s="1">
        <v>1.3016766002665501</v>
      </c>
      <c r="D4" s="1">
        <v>-3.73542483486117E-3</v>
      </c>
      <c r="E4" s="1">
        <v>2.0456241561700201</v>
      </c>
      <c r="F4" s="1">
        <v>61.433029490012999</v>
      </c>
      <c r="G4" s="1">
        <v>2.28730049570156E-3</v>
      </c>
      <c r="H4" s="1"/>
    </row>
    <row r="5" spans="1:8" ht="42.75">
      <c r="A5" s="1" t="s">
        <v>10</v>
      </c>
      <c r="B5" s="1">
        <v>18.351915434355199</v>
      </c>
      <c r="C5" s="1">
        <v>1.3119130137301001</v>
      </c>
      <c r="D5" s="1">
        <v>-3.4828361627909001E-3</v>
      </c>
      <c r="E5" s="1">
        <v>2.04550415927755</v>
      </c>
      <c r="F5" s="1">
        <v>61.436351740026403</v>
      </c>
      <c r="G5" s="1">
        <v>2.2873004957271398E-3</v>
      </c>
      <c r="H5" s="1"/>
    </row>
    <row r="6" spans="1:8" ht="42.75">
      <c r="A6" s="1" t="s">
        <v>11</v>
      </c>
      <c r="B6" s="1">
        <v>18.337397032620899</v>
      </c>
      <c r="C6" s="1">
        <v>1.31284104455171</v>
      </c>
      <c r="D6" s="1">
        <v>-3.4858706108826299E-3</v>
      </c>
      <c r="E6" s="1">
        <v>2.0451683508351399</v>
      </c>
      <c r="F6" s="1">
        <v>62.4453617575438</v>
      </c>
      <c r="G6" s="1">
        <v>2.2873393531187402E-3</v>
      </c>
      <c r="H6" s="1"/>
    </row>
    <row r="7" spans="1:8" ht="42.75">
      <c r="A7" s="1" t="s">
        <v>12</v>
      </c>
      <c r="B7" s="1">
        <v>18.232394257417202</v>
      </c>
      <c r="C7" s="1">
        <v>1.3122772483674101</v>
      </c>
      <c r="D7" s="1">
        <v>-3.6338642115214502E-3</v>
      </c>
      <c r="E7" s="1">
        <v>2.0452517945961901</v>
      </c>
      <c r="F7" s="1">
        <v>61.408496520226997</v>
      </c>
      <c r="G7" s="1">
        <v>2.2873004957104201E-3</v>
      </c>
      <c r="H7" s="1"/>
    </row>
    <row r="8" spans="1:8" ht="42.75">
      <c r="A8" s="1" t="s">
        <v>13</v>
      </c>
      <c r="B8" s="1">
        <v>18.415074041865601</v>
      </c>
      <c r="C8" s="1">
        <v>1.30571200506162</v>
      </c>
      <c r="D8" s="1">
        <v>-3.7326451744858101E-3</v>
      </c>
      <c r="E8" s="1">
        <v>2.0440885247093101</v>
      </c>
      <c r="F8" s="1">
        <v>62.003311148223197</v>
      </c>
      <c r="G8" s="1">
        <v>2.2873005694846E-3</v>
      </c>
      <c r="H8" s="1"/>
    </row>
    <row r="9" spans="1:8" ht="42.75">
      <c r="A9" s="1" t="s">
        <v>14</v>
      </c>
      <c r="B9" s="1">
        <v>18.341941017083698</v>
      </c>
      <c r="C9" s="1">
        <v>1.31065885505775</v>
      </c>
      <c r="D9" s="1">
        <v>-3.1792386122048901E-3</v>
      </c>
      <c r="E9" s="1">
        <v>2.04479167830335</v>
      </c>
      <c r="F9" s="1">
        <v>61.431934051649499</v>
      </c>
      <c r="G9" s="1">
        <v>2.2873004979132301E-3</v>
      </c>
      <c r="H9" s="1"/>
    </row>
    <row r="10" spans="1:8" ht="42.75">
      <c r="A10" s="1" t="s">
        <v>15</v>
      </c>
      <c r="B10" s="1">
        <v>18.237027996635099</v>
      </c>
      <c r="C10" s="1">
        <v>1.3074337516746599</v>
      </c>
      <c r="D10" s="1">
        <v>-2.3944196408446799E-3</v>
      </c>
      <c r="E10" s="1">
        <v>2.0439953551461998</v>
      </c>
      <c r="F10" s="1">
        <v>61.393541850012497</v>
      </c>
      <c r="G10" s="1">
        <v>2.2873004957077799E-3</v>
      </c>
      <c r="H10" s="1"/>
    </row>
    <row r="11" spans="1:8" ht="42.75">
      <c r="A11" s="1" t="s">
        <v>16</v>
      </c>
      <c r="B11" s="1">
        <v>18.531243546545401</v>
      </c>
      <c r="C11" s="1">
        <v>1.3091920024515999</v>
      </c>
      <c r="D11" s="1">
        <v>-5.52753358363944E-3</v>
      </c>
      <c r="E11" s="1">
        <v>2.0445211363359701</v>
      </c>
      <c r="F11" s="1">
        <v>61.429015190063097</v>
      </c>
      <c r="G11" s="1">
        <v>2.2873004958123598E-3</v>
      </c>
      <c r="H11" s="1"/>
    </row>
    <row r="12" spans="1:8" ht="42.75">
      <c r="A12" s="1" t="s">
        <v>17</v>
      </c>
      <c r="B12" s="1">
        <v>18.412716855394802</v>
      </c>
      <c r="C12" s="1">
        <v>1.3018975921603</v>
      </c>
      <c r="D12" s="1">
        <v>-3.45675940309717E-3</v>
      </c>
      <c r="E12" s="1">
        <v>2.0449121779589801</v>
      </c>
      <c r="F12" s="1">
        <v>61.440501730080499</v>
      </c>
      <c r="G12" s="1">
        <v>2.2873004957018701E-3</v>
      </c>
      <c r="H12" s="1"/>
    </row>
    <row r="13" spans="1:8" ht="42.75">
      <c r="A13" s="1" t="s">
        <v>18</v>
      </c>
      <c r="B13" s="1">
        <v>18.4923898758226</v>
      </c>
      <c r="C13" s="1">
        <v>1.30104981653047</v>
      </c>
      <c r="D13" s="1">
        <v>-4.4188151302492996E-3</v>
      </c>
      <c r="E13" s="1">
        <v>2.04280768036101</v>
      </c>
      <c r="F13" s="1">
        <v>61.438899345615802</v>
      </c>
      <c r="G13" s="1">
        <v>2.2873004957409799E-3</v>
      </c>
      <c r="H13" s="1"/>
    </row>
    <row r="14" spans="1:8" ht="42.75">
      <c r="A14" s="1" t="s">
        <v>19</v>
      </c>
      <c r="B14" s="1">
        <v>18.515382021503999</v>
      </c>
      <c r="C14" s="1">
        <v>1.2980546539443101</v>
      </c>
      <c r="D14" s="1">
        <v>-4.2489846447984298E-3</v>
      </c>
      <c r="E14" s="1">
        <v>2.0435702886091498</v>
      </c>
      <c r="F14" s="1">
        <v>63.427662512490897</v>
      </c>
      <c r="G14" s="1">
        <v>2.4737822701726901E-3</v>
      </c>
      <c r="H14" s="1"/>
    </row>
    <row r="15" spans="1:8" ht="42.75">
      <c r="A15" s="1" t="s">
        <v>20</v>
      </c>
      <c r="B15" s="1">
        <v>18.391192672959299</v>
      </c>
      <c r="C15" s="1">
        <v>1.3116427902969101</v>
      </c>
      <c r="D15" s="1">
        <v>-5.4922690938082304E-3</v>
      </c>
      <c r="E15" s="1">
        <v>2.0441359850431602</v>
      </c>
      <c r="F15" s="1">
        <v>63.454965499951399</v>
      </c>
      <c r="G15" s="1">
        <v>2.9038798973330501E-3</v>
      </c>
      <c r="H15" s="1"/>
    </row>
    <row r="16" spans="1:8" ht="42.75">
      <c r="A16" s="1" t="s">
        <v>21</v>
      </c>
      <c r="B16" s="1">
        <v>18.551612310419799</v>
      </c>
      <c r="C16" s="1">
        <v>1.31202971880422</v>
      </c>
      <c r="D16" s="1">
        <v>-3.7295976757757399E-3</v>
      </c>
      <c r="E16" s="1">
        <v>2.0439886422010498</v>
      </c>
      <c r="F16" s="1">
        <v>61.4534016300017</v>
      </c>
      <c r="G16" s="1">
        <v>2.2873004995547998E-3</v>
      </c>
      <c r="H16" s="1"/>
    </row>
    <row r="17" spans="1:8" ht="42.75">
      <c r="A17" s="1" t="s">
        <v>22</v>
      </c>
      <c r="B17" s="1">
        <v>18.393990200449998</v>
      </c>
      <c r="C17" s="1">
        <v>1.3079214890741699</v>
      </c>
      <c r="D17" s="1">
        <v>-3.9500831369785796E-3</v>
      </c>
      <c r="E17" s="1">
        <v>2.0440625322775499</v>
      </c>
      <c r="F17" s="1">
        <v>61.465080430051501</v>
      </c>
      <c r="G17" s="1">
        <v>2.2873004957177901E-3</v>
      </c>
      <c r="H17" s="1"/>
    </row>
    <row r="18" spans="1:8" ht="42.75">
      <c r="A18" s="1" t="s">
        <v>23</v>
      </c>
      <c r="B18" s="1">
        <v>18.450034969079201</v>
      </c>
      <c r="C18" s="1">
        <v>1.3191404278508101</v>
      </c>
      <c r="D18" s="1">
        <v>-3.0850624242598E-3</v>
      </c>
      <c r="E18" s="1">
        <v>2.0431510042591801</v>
      </c>
      <c r="F18" s="1">
        <v>61.436248848364798</v>
      </c>
      <c r="G18" s="1">
        <v>2.3277071530413899E-3</v>
      </c>
      <c r="H18" s="1"/>
    </row>
    <row r="19" spans="1:8" ht="42.75">
      <c r="A19" s="1" t="s">
        <v>24</v>
      </c>
      <c r="B19" s="1">
        <v>18.408277105199002</v>
      </c>
      <c r="C19" s="1">
        <v>1.31657905173137</v>
      </c>
      <c r="D19" s="1">
        <v>-3.6603385518176402E-3</v>
      </c>
      <c r="E19" s="1">
        <v>2.0422330549182002</v>
      </c>
      <c r="F19" s="1">
        <v>63.491619434208999</v>
      </c>
      <c r="G19" s="1">
        <v>2.6319330462526601E-3</v>
      </c>
      <c r="H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K19"/>
  <sheetViews>
    <sheetView tabSelected="1" topLeftCell="A13" workbookViewId="0">
      <selection activeCell="E20" sqref="E20"/>
    </sheetView>
  </sheetViews>
  <sheetFormatPr defaultRowHeight="14.25"/>
  <sheetData>
    <row r="1" spans="1:11">
      <c r="A1" s="1" t="s">
        <v>0</v>
      </c>
      <c r="B1" s="1" t="s">
        <v>1</v>
      </c>
      <c r="C1" s="1" t="s">
        <v>1</v>
      </c>
      <c r="G1">
        <v>894</v>
      </c>
      <c r="H1">
        <v>456</v>
      </c>
    </row>
    <row r="2" spans="1:11" ht="42.75">
      <c r="A2" s="1" t="s">
        <v>7</v>
      </c>
      <c r="B2" s="1">
        <v>18.481531830496198</v>
      </c>
      <c r="C2" s="1">
        <v>0.30390235043574698</v>
      </c>
      <c r="F2" t="s">
        <v>25</v>
      </c>
      <c r="G2">
        <f>AVERAGE(B2:B19)</f>
        <v>18.407927590728249</v>
      </c>
      <c r="H2">
        <f>AVERAGE(C2:C19)</f>
        <v>0.30218706162385472</v>
      </c>
      <c r="J2" s="1"/>
    </row>
    <row r="3" spans="1:11" ht="42.75">
      <c r="A3" s="1" t="s">
        <v>8</v>
      </c>
      <c r="B3" s="1">
        <v>18.346083770183299</v>
      </c>
      <c r="C3" s="1">
        <v>0.30438419283964002</v>
      </c>
      <c r="F3" t="s">
        <v>26</v>
      </c>
      <c r="G3">
        <f>_xlfn.STDEV.S(B2:B19)</f>
        <v>9.0932068938100047E-2</v>
      </c>
      <c r="H3">
        <f>_xlfn.STDEV.S(C2:C19)</f>
        <v>3.9821018649034137E-3</v>
      </c>
      <c r="J3" s="1"/>
    </row>
    <row r="4" spans="1:11" ht="42.75">
      <c r="A4" s="1" t="s">
        <v>9</v>
      </c>
      <c r="B4" s="1">
        <v>18.452491695077299</v>
      </c>
      <c r="C4" s="1">
        <v>0.297161130585052</v>
      </c>
      <c r="G4">
        <f>G3/G2/SQRT(COUNT(B2:B19))</f>
        <v>1.1643295577687099E-3</v>
      </c>
      <c r="H4">
        <f>H3/H2/SQRT(COUNT(C2:C19))</f>
        <v>3.1059913870542803E-3</v>
      </c>
      <c r="J4" s="1"/>
    </row>
    <row r="5" spans="1:11" ht="42.75">
      <c r="A5" s="1" t="s">
        <v>10</v>
      </c>
      <c r="B5" s="1">
        <v>18.351915434355199</v>
      </c>
      <c r="C5" s="1">
        <v>0.30092447877826201</v>
      </c>
      <c r="K5" s="1"/>
    </row>
    <row r="6" spans="1:11" ht="42.75">
      <c r="A6" s="1" t="s">
        <v>11</v>
      </c>
      <c r="B6" s="1">
        <v>18.337397032620899</v>
      </c>
      <c r="C6" s="1">
        <v>0.30225556251139701</v>
      </c>
      <c r="K6" s="1"/>
    </row>
    <row r="7" spans="1:11" ht="42.75">
      <c r="A7" s="1" t="s">
        <v>12</v>
      </c>
      <c r="B7" s="1">
        <v>18.232394257417202</v>
      </c>
      <c r="C7" s="1">
        <v>0.30453505035585898</v>
      </c>
      <c r="K7" s="1"/>
    </row>
    <row r="8" spans="1:11" ht="42.75">
      <c r="A8" s="1" t="s">
        <v>13</v>
      </c>
      <c r="B8" s="1">
        <v>18.415074041865601</v>
      </c>
      <c r="C8" s="1">
        <v>0.29441937543381203</v>
      </c>
      <c r="K8" s="1"/>
    </row>
    <row r="9" spans="1:11" ht="42.75">
      <c r="A9" s="1" t="s">
        <v>14</v>
      </c>
      <c r="B9" s="1">
        <v>18.341941017083698</v>
      </c>
      <c r="C9" s="1">
        <v>0.29938049893952201</v>
      </c>
      <c r="K9" s="1"/>
    </row>
    <row r="10" spans="1:11" ht="42.75">
      <c r="A10" s="1" t="s">
        <v>15</v>
      </c>
      <c r="B10" s="1">
        <v>18.237027996635099</v>
      </c>
      <c r="C10" s="1">
        <v>0.30198767465833298</v>
      </c>
      <c r="K10" s="1"/>
    </row>
    <row r="11" spans="1:11" ht="42.75">
      <c r="A11" s="1" t="s">
        <v>16</v>
      </c>
      <c r="B11" s="1">
        <v>18.531243546545401</v>
      </c>
      <c r="C11" s="1">
        <v>0.29452133244947898</v>
      </c>
      <c r="K11" s="1"/>
    </row>
    <row r="12" spans="1:11" ht="42.75">
      <c r="A12" s="1" t="s">
        <v>17</v>
      </c>
      <c r="B12" s="1">
        <v>18.412716855394802</v>
      </c>
      <c r="C12" s="1">
        <v>0.30226636207287</v>
      </c>
      <c r="K12" s="1"/>
    </row>
    <row r="13" spans="1:11" ht="42.75">
      <c r="A13" s="1" t="s">
        <v>18</v>
      </c>
      <c r="B13" s="1">
        <v>18.4923898758226</v>
      </c>
      <c r="C13" s="1">
        <v>0.30276185184620003</v>
      </c>
      <c r="K13" s="1"/>
    </row>
    <row r="14" spans="1:11" ht="42.75">
      <c r="A14" s="1" t="s">
        <v>19</v>
      </c>
      <c r="B14" s="1">
        <v>18.515382021503999</v>
      </c>
      <c r="C14" s="1">
        <v>0.30565983998385898</v>
      </c>
      <c r="K14" s="1"/>
    </row>
    <row r="15" spans="1:11" ht="42.75">
      <c r="A15" s="1" t="s">
        <v>20</v>
      </c>
      <c r="B15" s="1">
        <v>18.391192672959299</v>
      </c>
      <c r="C15" s="1">
        <v>0.30235700258888798</v>
      </c>
      <c r="K15" s="1"/>
    </row>
    <row r="16" spans="1:11" ht="42.75">
      <c r="A16" s="1" t="s">
        <v>21</v>
      </c>
      <c r="B16" s="1">
        <v>18.551612310419799</v>
      </c>
      <c r="C16" s="1">
        <v>0.30470031507930101</v>
      </c>
      <c r="K16" s="1"/>
    </row>
    <row r="17" spans="1:11" ht="42.75">
      <c r="A17" s="1" t="s">
        <v>22</v>
      </c>
      <c r="B17" s="1">
        <v>18.393990200449998</v>
      </c>
      <c r="C17" s="1">
        <v>0.30681032275950298</v>
      </c>
      <c r="K17" s="1"/>
    </row>
    <row r="18" spans="1:11" ht="42.75">
      <c r="A18" s="1" t="s">
        <v>23</v>
      </c>
      <c r="B18" s="1">
        <v>18.450034969079201</v>
      </c>
      <c r="C18" s="1">
        <v>0.31003085423784599</v>
      </c>
      <c r="K18" s="1"/>
    </row>
    <row r="19" spans="1:11" ht="42.75">
      <c r="A19" s="1" t="s">
        <v>24</v>
      </c>
      <c r="B19" s="1">
        <v>18.408277105199002</v>
      </c>
      <c r="C19" s="1">
        <v>0.30130891367381502</v>
      </c>
      <c r="K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2026-07-02T19:41:53Z</dcterms:modified>
</cp:coreProperties>
</file>