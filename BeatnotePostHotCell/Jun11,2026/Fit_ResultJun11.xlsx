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Jun11,2026\"/>
    </mc:Choice>
  </mc:AlternateContent>
  <xr:revisionPtr revIDLastSave="0" documentId="13_ncr:1_{6EE8F560-506D-427F-B55A-8ED0206E5B68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G3" i="3"/>
  <c r="G4" i="3"/>
  <c r="H5" i="3" l="1"/>
  <c r="G5" i="3"/>
</calcChain>
</file>

<file path=xl/sharedStrings.xml><?xml version="1.0" encoding="utf-8"?>
<sst xmlns="http://schemas.openxmlformats.org/spreadsheetml/2006/main" count="69" uniqueCount="27">
  <si>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</si>
  <si>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</si>
  <si>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</si>
  <si>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</si>
  <si>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</si>
  <si>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</si>
  <si>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</si>
  <si>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</si>
  <si>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</si>
  <si>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</si>
  <si>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</si>
  <si>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Jun11,2026+11-08-10AM</t>
  </si>
  <si>
    <t>Jun11,2026+11-49-40AM</t>
  </si>
  <si>
    <t>Jun11,2026+12-16-22PM</t>
  </si>
  <si>
    <t>Jun11,2026+12-28-59PM</t>
  </si>
  <si>
    <t>Jun11,2026+2-56-44PM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</si>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</sst>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S33"/>
  <sheetViews>
    <sheetView workbookViewId="0">
      <selection sqref="A1:B1048576"/>
    </sheetView>
  </sheetViews>
  <sheetFormatPr defaultRowHeight="14.25"/>
  <sheetData>
    <row r="1" spans="1:19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/>
      <c r="K1" s="1"/>
      <c r="L1" s="1"/>
      <c r="M1" s="1"/>
      <c r="N1" s="1"/>
      <c r="O1" s="1"/>
      <c r="P1" s="1"/>
      <c r="Q1" s="1"/>
      <c r="R1" s="1"/>
      <c r="S1" s="1"/>
    </row>
    <row r="2" spans="1:19" ht="42.75">
      <c r="A2" s="1" t="s">
        <v>11</v>
      </c>
      <c r="B2" s="1">
        <v>5.5657944042335004</v>
      </c>
      <c r="C2" s="1">
        <v>1.41002837619258</v>
      </c>
      <c r="D2" s="1">
        <v>-1.64666523089466E-3</v>
      </c>
      <c r="E2" s="1">
        <v>1.87360594414458</v>
      </c>
      <c r="F2" s="1">
        <v>40.001592011389597</v>
      </c>
      <c r="G2" s="1">
        <v>2.2883622162420598E-3</v>
      </c>
      <c r="H2" s="1"/>
      <c r="L2" s="1"/>
      <c r="M2" s="1"/>
      <c r="N2" s="1"/>
      <c r="O2" s="1"/>
      <c r="P2" s="1"/>
      <c r="Q2" s="1"/>
      <c r="R2" s="1"/>
      <c r="S2" s="1"/>
    </row>
    <row r="3" spans="1:19" ht="42.75">
      <c r="A3" s="1" t="s">
        <v>12</v>
      </c>
      <c r="B3" s="1">
        <v>5.4648667593817297</v>
      </c>
      <c r="C3" s="1">
        <v>1.4073841924070201</v>
      </c>
      <c r="D3" s="1">
        <v>-1.73321563465969E-3</v>
      </c>
      <c r="E3" s="1">
        <v>1.87714933899425</v>
      </c>
      <c r="F3" s="1">
        <v>41.316061549969596</v>
      </c>
      <c r="G3" s="1">
        <v>3.3754339478834698E-3</v>
      </c>
      <c r="H3" s="1"/>
      <c r="S3" s="1"/>
    </row>
    <row r="4" spans="1:19" ht="42.75">
      <c r="A4" s="1" t="s">
        <v>13</v>
      </c>
      <c r="B4" s="1">
        <v>5.6047427761818804</v>
      </c>
      <c r="C4" s="1">
        <v>1.4075585671927</v>
      </c>
      <c r="D4" s="1">
        <v>-2.7387337272149698E-3</v>
      </c>
      <c r="E4" s="1">
        <v>1.87604196760027</v>
      </c>
      <c r="F4" s="1">
        <v>39.304335200021598</v>
      </c>
      <c r="G4" s="1">
        <v>2.2873004957074698E-3</v>
      </c>
      <c r="H4" s="1"/>
      <c r="S4" s="1"/>
    </row>
    <row r="5" spans="1:19" ht="42.75">
      <c r="A5" s="1" t="s">
        <v>14</v>
      </c>
      <c r="B5" s="1">
        <v>5.5960936640263199</v>
      </c>
      <c r="C5" s="1">
        <v>1.4050582460952601</v>
      </c>
      <c r="D5" s="1">
        <v>-1.8542246116631401E-3</v>
      </c>
      <c r="E5" s="1">
        <v>1.8739069708388001</v>
      </c>
      <c r="F5" s="1">
        <v>39.3261679103761</v>
      </c>
      <c r="G5" s="1">
        <v>2.28730049667694E-3</v>
      </c>
      <c r="H5" s="1"/>
      <c r="S5" s="1"/>
    </row>
    <row r="6" spans="1:19" ht="42.75">
      <c r="A6" s="1" t="s">
        <v>15</v>
      </c>
      <c r="B6" s="1">
        <v>5.4713363021862502</v>
      </c>
      <c r="C6" s="1">
        <v>1.3948199036606499</v>
      </c>
      <c r="D6" s="1">
        <v>-1.9749201691005702E-3</v>
      </c>
      <c r="E6" s="1">
        <v>1.8762676596746</v>
      </c>
      <c r="F6" s="1">
        <v>41.529618989236603</v>
      </c>
      <c r="G6" s="1">
        <v>3.48588161164706E-3</v>
      </c>
      <c r="H6" s="1"/>
      <c r="S6" s="1"/>
    </row>
    <row r="7" spans="1:19" ht="42.75">
      <c r="A7" s="1" t="s">
        <v>16</v>
      </c>
      <c r="B7" s="1">
        <v>5.5409104673644096</v>
      </c>
      <c r="C7" s="1">
        <v>1.3977294776601099</v>
      </c>
      <c r="D7" s="1">
        <v>-1.6925619162505201E-3</v>
      </c>
      <c r="E7" s="1">
        <v>1.6279735443497201</v>
      </c>
      <c r="F7" s="1">
        <v>39.595918670095699</v>
      </c>
      <c r="G7" s="1">
        <v>2.2873004957627602E-3</v>
      </c>
      <c r="H7" s="1"/>
      <c r="S7" s="1"/>
    </row>
    <row r="8" spans="1:19" ht="42.75">
      <c r="A8" s="1" t="s">
        <v>17</v>
      </c>
      <c r="B8" s="1">
        <v>5.55013048416959</v>
      </c>
      <c r="C8" s="1">
        <v>1.3994862081283901</v>
      </c>
      <c r="D8" s="1">
        <v>-2.0488767850932901E-3</v>
      </c>
      <c r="E8" s="1">
        <v>1.62730778098593</v>
      </c>
      <c r="F8" s="1">
        <v>39.604561480025303</v>
      </c>
      <c r="G8" s="1">
        <v>2.2873004958565701E-3</v>
      </c>
      <c r="H8" s="1"/>
      <c r="S8" s="1"/>
    </row>
    <row r="9" spans="1:19" ht="42.75">
      <c r="A9" s="1" t="s">
        <v>18</v>
      </c>
      <c r="B9" s="1">
        <v>5.5616342974163304</v>
      </c>
      <c r="C9" s="1">
        <v>1.3977319692332499</v>
      </c>
      <c r="D9" s="1">
        <v>-1.49204458595649E-3</v>
      </c>
      <c r="E9" s="1">
        <v>1.6280510852904699</v>
      </c>
      <c r="F9" s="1">
        <v>40.384501908248801</v>
      </c>
      <c r="G9" s="1">
        <v>2.28773077852144E-3</v>
      </c>
      <c r="H9" s="1"/>
      <c r="S9" s="1"/>
    </row>
    <row r="10" spans="1:19" ht="42.75">
      <c r="A10" s="1" t="s">
        <v>19</v>
      </c>
      <c r="B10" s="1">
        <v>5.5301083552827803</v>
      </c>
      <c r="C10" s="1">
        <v>1.3536654451380401</v>
      </c>
      <c r="D10" s="1">
        <v>-1.3156161136559099E-3</v>
      </c>
      <c r="E10" s="1">
        <v>1.6272152049736099</v>
      </c>
      <c r="F10" s="1">
        <v>41.615720541805601</v>
      </c>
      <c r="G10" s="1">
        <v>2.3458881118314798E-3</v>
      </c>
      <c r="H10" s="1"/>
      <c r="S10" s="1"/>
    </row>
    <row r="11" spans="1:19" ht="42.75">
      <c r="A11" s="1" t="s">
        <v>20</v>
      </c>
      <c r="B11" s="1">
        <v>5.4935494282478201</v>
      </c>
      <c r="C11" s="1">
        <v>1.3523416206085299</v>
      </c>
      <c r="D11" s="1">
        <v>-8.7513227153518001E-4</v>
      </c>
      <c r="E11" s="1">
        <v>1.6265192885705499</v>
      </c>
      <c r="F11" s="1">
        <v>41.613198473718803</v>
      </c>
      <c r="G11" s="1">
        <v>2.62490487105645E-3</v>
      </c>
      <c r="H11" s="1"/>
      <c r="R11" s="1"/>
    </row>
    <row r="12" spans="1:19" ht="42.75">
      <c r="A12" s="1" t="s">
        <v>21</v>
      </c>
      <c r="B12" s="1">
        <v>5.4627011461568502</v>
      </c>
      <c r="C12" s="1">
        <v>1.35623617839257</v>
      </c>
      <c r="D12" s="1">
        <v>-1.2538504828957201E-3</v>
      </c>
      <c r="E12" s="1">
        <v>1.6255839937436101</v>
      </c>
      <c r="F12" s="1">
        <v>41.641253229466201</v>
      </c>
      <c r="G12" s="1">
        <v>3.5442953797436699E-3</v>
      </c>
      <c r="H12" s="1"/>
      <c r="R12" s="1"/>
    </row>
    <row r="13" spans="1:19" ht="42.75">
      <c r="A13" s="1" t="s">
        <v>22</v>
      </c>
      <c r="B13" s="1">
        <v>5.5557750287565701</v>
      </c>
      <c r="C13" s="1">
        <v>1.3589362685203099</v>
      </c>
      <c r="D13" s="1">
        <v>-1.16502513142615E-3</v>
      </c>
      <c r="E13" s="1">
        <v>1.6241372963317799</v>
      </c>
      <c r="F13" s="1">
        <v>39.6295670501394</v>
      </c>
      <c r="G13" s="1">
        <v>2.2873004957021E-3</v>
      </c>
      <c r="H13" s="1"/>
      <c r="R13" s="1"/>
    </row>
    <row r="14" spans="1:19" ht="42.75">
      <c r="A14" s="1" t="s">
        <v>23</v>
      </c>
      <c r="B14" s="1">
        <v>5.5014512688728496</v>
      </c>
      <c r="C14" s="1">
        <v>1.3608148257796</v>
      </c>
      <c r="D14" s="1">
        <v>-9.76019625236697E-4</v>
      </c>
      <c r="E14" s="1">
        <v>1.6270719617164699</v>
      </c>
      <c r="F14" s="1">
        <v>40.444767764288102</v>
      </c>
      <c r="G14" s="1">
        <v>2.38944783291937E-3</v>
      </c>
      <c r="H14" s="1"/>
      <c r="R14" s="1"/>
    </row>
    <row r="15" spans="1:19" ht="42.75">
      <c r="A15" s="1" t="s">
        <v>24</v>
      </c>
      <c r="B15" s="1">
        <v>5.4947589504036598</v>
      </c>
      <c r="C15" s="1">
        <v>1.3582210424182899</v>
      </c>
      <c r="D15" s="1">
        <v>-6.5438641220203798E-4</v>
      </c>
      <c r="E15" s="1">
        <v>1.62425914097004</v>
      </c>
      <c r="F15" s="1">
        <v>41.602163689690101</v>
      </c>
      <c r="G15" s="1">
        <v>2.6375761938544802E-3</v>
      </c>
      <c r="H15" s="1"/>
      <c r="R15" s="1"/>
    </row>
    <row r="16" spans="1:19" ht="42.75">
      <c r="A16" s="1" t="s">
        <v>25</v>
      </c>
      <c r="B16" s="1">
        <v>5.5489303201094904</v>
      </c>
      <c r="C16" s="1">
        <v>1.3622145061784501</v>
      </c>
      <c r="D16" s="1">
        <v>-8.8585619066750497E-4</v>
      </c>
      <c r="E16" s="1">
        <v>1.62730484227898</v>
      </c>
      <c r="F16" s="1">
        <v>39.562914170931002</v>
      </c>
      <c r="G16" s="1">
        <v>2.2873004957220501E-3</v>
      </c>
      <c r="H16" s="1"/>
      <c r="R16" s="1"/>
    </row>
    <row r="17" spans="1:8" ht="42.75">
      <c r="A17" s="1" t="s">
        <v>26</v>
      </c>
      <c r="B17" s="1">
        <v>5.4160645106972503</v>
      </c>
      <c r="C17" s="1">
        <v>1.36175385892976</v>
      </c>
      <c r="D17" s="1">
        <v>-5.58592138066154E-4</v>
      </c>
      <c r="E17" s="1">
        <v>1.6243070244483799</v>
      </c>
      <c r="F17" s="1">
        <v>41.5560952034579</v>
      </c>
      <c r="G17" s="1">
        <v>3.1187668207927699E-3</v>
      </c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</row>
    <row r="23" spans="1:8">
      <c r="A23" s="1"/>
      <c r="B23" s="1"/>
      <c r="C23" s="1"/>
      <c r="D23" s="1"/>
      <c r="E23" s="1"/>
      <c r="F23" s="1"/>
      <c r="G23" s="1"/>
    </row>
    <row r="24" spans="1:8">
      <c r="A24" s="1"/>
      <c r="B24" s="1"/>
      <c r="C24" s="1"/>
      <c r="D24" s="1"/>
      <c r="E24" s="1"/>
      <c r="F24" s="1"/>
      <c r="G24" s="1"/>
    </row>
    <row r="25" spans="1:8">
      <c r="A25" s="1"/>
      <c r="B25" s="1"/>
      <c r="C25" s="1"/>
      <c r="D25" s="1"/>
      <c r="E25" s="1"/>
      <c r="F25" s="1"/>
      <c r="G25" s="1"/>
    </row>
    <row r="26" spans="1:8">
      <c r="A26" s="1"/>
      <c r="B26" s="1"/>
      <c r="C26" s="1"/>
      <c r="D26" s="1"/>
      <c r="E26" s="1"/>
      <c r="F26" s="1"/>
      <c r="G26" s="1"/>
    </row>
    <row r="27" spans="1:8">
      <c r="A27" s="1"/>
      <c r="B27" s="1"/>
      <c r="C27" s="1"/>
      <c r="D27" s="1"/>
      <c r="E27" s="1"/>
      <c r="F27" s="1"/>
      <c r="G27" s="1"/>
    </row>
    <row r="28" spans="1:8">
      <c r="A28" s="1"/>
      <c r="B28" s="1"/>
      <c r="C28" s="1"/>
      <c r="D28" s="1"/>
      <c r="E28" s="1"/>
      <c r="F28" s="1"/>
      <c r="G28" s="1"/>
    </row>
    <row r="29" spans="1:8">
      <c r="A29" s="1"/>
      <c r="B29" s="1"/>
      <c r="C29" s="1"/>
      <c r="D29" s="1"/>
      <c r="E29" s="1"/>
      <c r="F29" s="1"/>
      <c r="G29" s="1"/>
    </row>
    <row r="30" spans="1:8">
      <c r="A30" s="1"/>
      <c r="B30" s="1"/>
      <c r="C30" s="1"/>
      <c r="D30" s="1"/>
      <c r="E30" s="1"/>
      <c r="F30" s="1"/>
      <c r="G30" s="1"/>
    </row>
    <row r="31" spans="1:8">
      <c r="A31" s="1"/>
      <c r="B31" s="1"/>
      <c r="C31" s="1"/>
      <c r="D31" s="1"/>
      <c r="E31" s="1"/>
      <c r="F31" s="1"/>
      <c r="G31" s="1"/>
    </row>
    <row r="32" spans="1:8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activeCell="A2" sqref="A2:B17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6.9580113040116104E-2</v>
      </c>
      <c r="C2" s="1">
        <v>1.55091524134111</v>
      </c>
      <c r="D2" s="1">
        <v>1.3454091475730799E-3</v>
      </c>
      <c r="E2" s="1">
        <v>-1.1962820817634099E-4</v>
      </c>
      <c r="F2" s="1">
        <v>1.6730295759310501</v>
      </c>
      <c r="G2" s="1">
        <v>40.483422593478103</v>
      </c>
      <c r="H2" s="1">
        <v>5.8007362629542705E-4</v>
      </c>
      <c r="L2" s="1"/>
      <c r="M2" s="1"/>
      <c r="N2" s="1"/>
      <c r="O2" s="1"/>
      <c r="P2" s="1"/>
      <c r="Q2" s="1"/>
      <c r="R2" s="1"/>
      <c r="S2" s="1"/>
    </row>
    <row r="3" spans="1:20" ht="42.75">
      <c r="A3" s="1" t="s">
        <v>12</v>
      </c>
      <c r="B3" s="1">
        <v>7.0068196646880104E-2</v>
      </c>
      <c r="C3" s="1">
        <v>1.5512063773390801</v>
      </c>
      <c r="D3" s="1">
        <v>1.33855994820921E-3</v>
      </c>
      <c r="E3" s="1">
        <v>-1.2867154682489601E-4</v>
      </c>
      <c r="F3" s="1">
        <v>1.9117333728349599</v>
      </c>
      <c r="G3" s="1">
        <v>39.436185755626603</v>
      </c>
      <c r="H3" s="1">
        <v>5.8220769436672498E-4</v>
      </c>
      <c r="L3" s="1"/>
      <c r="M3" s="1"/>
      <c r="N3" s="1"/>
      <c r="O3" s="1"/>
      <c r="P3" s="1"/>
      <c r="Q3" s="1"/>
      <c r="R3" s="1"/>
      <c r="S3" s="1"/>
    </row>
    <row r="4" spans="1:20" ht="42.75">
      <c r="A4" s="1" t="s">
        <v>13</v>
      </c>
      <c r="B4" s="1">
        <v>7.0994631005327505E-2</v>
      </c>
      <c r="C4" s="1">
        <v>1.5508671083397201</v>
      </c>
      <c r="D4" s="1">
        <v>1.52933751865176E-3</v>
      </c>
      <c r="E4" s="1">
        <v>-1.57460416545163E-4</v>
      </c>
      <c r="F4" s="1">
        <v>1.6694511159867</v>
      </c>
      <c r="G4" s="1">
        <v>39.314567591479999</v>
      </c>
      <c r="H4" s="1">
        <v>6.6321296848941003E-4</v>
      </c>
    </row>
    <row r="5" spans="1:20" ht="42.75">
      <c r="A5" s="1" t="s">
        <v>14</v>
      </c>
      <c r="B5" s="1">
        <v>7.01413654005653E-2</v>
      </c>
      <c r="C5" s="1">
        <v>1.55117767889363</v>
      </c>
      <c r="D5" s="1">
        <v>1.1606296225717999E-3</v>
      </c>
      <c r="E5" s="2">
        <v>-8.5933812219673699E-5</v>
      </c>
      <c r="F5" s="1">
        <v>1.66770081197015</v>
      </c>
      <c r="G5" s="1">
        <v>39.543602096399098</v>
      </c>
      <c r="H5" s="1">
        <v>6.5438230696303703E-4</v>
      </c>
    </row>
    <row r="6" spans="1:20" ht="42.75">
      <c r="A6" s="1" t="s">
        <v>15</v>
      </c>
      <c r="B6" s="1">
        <v>7.1625188956317504E-2</v>
      </c>
      <c r="C6" s="1">
        <v>1.54328875129271</v>
      </c>
      <c r="D6" s="1">
        <v>1.45083182877366E-3</v>
      </c>
      <c r="E6" s="1">
        <v>-1.1680416437718E-4</v>
      </c>
      <c r="F6" s="1">
        <v>1.8783127298144999</v>
      </c>
      <c r="G6" s="1">
        <v>40.862917980086998</v>
      </c>
      <c r="H6" s="1">
        <v>6.1220879363875101E-4</v>
      </c>
    </row>
    <row r="7" spans="1:20" ht="42.75">
      <c r="A7" s="1" t="s">
        <v>16</v>
      </c>
      <c r="B7" s="1">
        <v>7.04951567436682E-2</v>
      </c>
      <c r="C7" s="1">
        <v>1.54207790422821</v>
      </c>
      <c r="D7" s="1">
        <v>1.8871849890876201E-3</v>
      </c>
      <c r="E7" s="1">
        <v>-1.6638071475920301E-4</v>
      </c>
      <c r="F7" s="1">
        <v>2.6714825283694998</v>
      </c>
      <c r="G7" s="1">
        <v>39.815739114717502</v>
      </c>
      <c r="H7" s="1">
        <v>6.9356150306368596E-4</v>
      </c>
    </row>
    <row r="8" spans="1:20" ht="42.75">
      <c r="A8" s="1" t="s">
        <v>17</v>
      </c>
      <c r="B8" s="1">
        <v>7.1076737537177401E-2</v>
      </c>
      <c r="C8" s="1">
        <v>1.5407314258606899</v>
      </c>
      <c r="D8" s="1">
        <v>2.0154893134944501E-3</v>
      </c>
      <c r="E8" s="1">
        <v>-1.5456268555393601E-4</v>
      </c>
      <c r="F8" s="1">
        <v>2.9029431890536999</v>
      </c>
      <c r="G8" s="1">
        <v>41.383260946200103</v>
      </c>
      <c r="H8" s="1">
        <v>1.0456774869810001E-3</v>
      </c>
    </row>
    <row r="9" spans="1:20" ht="42.75">
      <c r="A9" s="1" t="s">
        <v>18</v>
      </c>
      <c r="B9" s="1">
        <v>7.0296602179900303E-2</v>
      </c>
      <c r="C9" s="1">
        <v>1.5410500430673399</v>
      </c>
      <c r="D9" s="1">
        <v>2.27786412698428E-3</v>
      </c>
      <c r="E9" s="1">
        <v>-2.0779644854500501E-4</v>
      </c>
      <c r="F9" s="1">
        <v>2.9159705002635499</v>
      </c>
      <c r="G9" s="1">
        <v>39.752896068265997</v>
      </c>
      <c r="H9" s="1">
        <v>8.4737484286365997E-4</v>
      </c>
    </row>
    <row r="10" spans="1:20" ht="42.75">
      <c r="A10" s="1" t="s">
        <v>19</v>
      </c>
      <c r="B10" s="1">
        <v>7.0157369715004997E-2</v>
      </c>
      <c r="C10" s="1">
        <v>1.5350164983766901</v>
      </c>
      <c r="D10" s="1">
        <v>1.87925369112614E-3</v>
      </c>
      <c r="E10" s="1">
        <v>-1.5891454320702899E-4</v>
      </c>
      <c r="F10" s="1">
        <v>2.6681859218239499</v>
      </c>
      <c r="G10" s="1">
        <v>40.632752225054901</v>
      </c>
      <c r="H10" s="1">
        <v>7.5220842401617599E-4</v>
      </c>
    </row>
    <row r="11" spans="1:20" ht="42.75">
      <c r="A11" s="1" t="s">
        <v>20</v>
      </c>
      <c r="B11" s="1">
        <v>7.0955354830624304E-2</v>
      </c>
      <c r="C11" s="1">
        <v>1.53652411422879</v>
      </c>
      <c r="D11" s="1">
        <v>1.49036080701047E-3</v>
      </c>
      <c r="E11" s="1">
        <v>-1.4474091243397901E-4</v>
      </c>
      <c r="F11" s="1">
        <v>1.6547510293194301</v>
      </c>
      <c r="G11" s="1">
        <v>40.535754366001797</v>
      </c>
      <c r="H11" s="1">
        <v>1.1407199775801001E-3</v>
      </c>
    </row>
    <row r="12" spans="1:20" ht="42.75">
      <c r="A12" s="1" t="s">
        <v>21</v>
      </c>
      <c r="B12" s="1">
        <v>7.0402355659330701E-2</v>
      </c>
      <c r="C12" s="1">
        <v>1.5345932960672799</v>
      </c>
      <c r="D12" s="1">
        <v>2.3468305655257099E-3</v>
      </c>
      <c r="E12" s="1">
        <v>-2.2769684078015399E-4</v>
      </c>
      <c r="F12" s="1">
        <v>2.9137065084310598</v>
      </c>
      <c r="G12" s="1">
        <v>41.634252250556301</v>
      </c>
      <c r="H12" s="1">
        <v>1.1278070083280999E-3</v>
      </c>
    </row>
    <row r="13" spans="1:20" ht="42.75">
      <c r="A13" s="1" t="s">
        <v>22</v>
      </c>
      <c r="B13" s="1">
        <v>6.9408807064024997E-2</v>
      </c>
      <c r="C13" s="1">
        <v>1.5354346796843199</v>
      </c>
      <c r="D13" s="1">
        <v>2.0030429407681301E-3</v>
      </c>
      <c r="E13" s="1">
        <v>-2.0026870256848199E-4</v>
      </c>
      <c r="F13" s="1">
        <v>2.6624965759713999</v>
      </c>
      <c r="G13" s="1">
        <v>40.6491182711721</v>
      </c>
      <c r="H13" s="1">
        <v>7.5220853935363899E-4</v>
      </c>
    </row>
    <row r="14" spans="1:20" ht="42.75">
      <c r="A14" s="1" t="s">
        <v>23</v>
      </c>
      <c r="B14" s="1">
        <v>7.0420029676822898E-2</v>
      </c>
      <c r="C14" s="1">
        <v>1.5340188127490999</v>
      </c>
      <c r="D14" s="1">
        <v>2.1581463655920298E-3</v>
      </c>
      <c r="E14" s="1">
        <v>-1.9057196407786599E-4</v>
      </c>
      <c r="F14" s="1">
        <v>2.9181285155443</v>
      </c>
      <c r="G14" s="1">
        <v>39.641527263839002</v>
      </c>
      <c r="H14" s="1">
        <v>7.7674197222551999E-4</v>
      </c>
    </row>
    <row r="15" spans="1:20" ht="42.75">
      <c r="A15" s="1" t="s">
        <v>24</v>
      </c>
      <c r="B15" s="1">
        <v>7.1119616242477604E-2</v>
      </c>
      <c r="C15" s="1">
        <v>1.53399556393425</v>
      </c>
      <c r="D15" s="1">
        <v>1.9604113931687298E-3</v>
      </c>
      <c r="E15" s="1">
        <v>-1.7763026472953299E-4</v>
      </c>
      <c r="F15" s="1">
        <v>2.91969648100482</v>
      </c>
      <c r="G15" s="1">
        <v>41.365555746510303</v>
      </c>
      <c r="H15" s="1">
        <v>9.6540334642402205E-4</v>
      </c>
    </row>
    <row r="16" spans="1:20" ht="42.75">
      <c r="A16" s="1" t="s">
        <v>25</v>
      </c>
      <c r="B16" s="1">
        <v>6.8778607126876098E-2</v>
      </c>
      <c r="C16" s="1">
        <v>1.53621256575123</v>
      </c>
      <c r="D16" s="1">
        <v>1.5095276277618901E-3</v>
      </c>
      <c r="E16" s="1">
        <v>-1.5743523758064999E-4</v>
      </c>
      <c r="F16" s="1">
        <v>2.1603695020999498</v>
      </c>
      <c r="G16" s="1">
        <v>39.666447593591101</v>
      </c>
      <c r="H16" s="1">
        <v>6.4567896381248003E-4</v>
      </c>
    </row>
    <row r="17" spans="1:8" ht="42.75">
      <c r="A17" s="1" t="s">
        <v>26</v>
      </c>
      <c r="B17" s="1">
        <v>6.9985374084186203E-2</v>
      </c>
      <c r="C17" s="1">
        <v>1.53608925519313</v>
      </c>
      <c r="D17" s="1">
        <v>1.3920505413377901E-3</v>
      </c>
      <c r="E17" s="1">
        <v>-1.2059805193785E-4</v>
      </c>
      <c r="F17" s="1">
        <v>2.1665289202312401</v>
      </c>
      <c r="G17" s="1">
        <v>41.2559981996326</v>
      </c>
      <c r="H17" s="1">
        <v>7.0055033895612096E-4</v>
      </c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2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K34"/>
  <sheetViews>
    <sheetView tabSelected="1" topLeftCell="A10" workbookViewId="0">
      <selection activeCell="M15" sqref="M15"/>
    </sheetView>
  </sheetViews>
  <sheetFormatPr defaultRowHeight="14.25"/>
  <cols>
    <col min="6" max="6" width="16.75" customWidth="1"/>
  </cols>
  <sheetData>
    <row r="1" spans="1:11">
      <c r="A1" s="1" t="s">
        <v>0</v>
      </c>
      <c r="B1" s="1" t="s">
        <v>4</v>
      </c>
      <c r="C1" s="1" t="s">
        <v>4</v>
      </c>
    </row>
    <row r="2" spans="1:11" ht="42.75">
      <c r="A2" s="1" t="s">
        <v>11</v>
      </c>
      <c r="B2" s="1">
        <v>5.5657944042335004</v>
      </c>
      <c r="C2" s="1">
        <v>6.9580113040116104E-2</v>
      </c>
      <c r="G2">
        <v>894</v>
      </c>
      <c r="H2">
        <v>456</v>
      </c>
      <c r="K2" s="1"/>
    </row>
    <row r="3" spans="1:11" ht="42.75">
      <c r="A3" s="1" t="s">
        <v>12</v>
      </c>
      <c r="B3" s="1">
        <v>5.4648667593817297</v>
      </c>
      <c r="C3" s="1">
        <v>7.0068196646880104E-2</v>
      </c>
      <c r="F3" t="s">
        <v>1</v>
      </c>
      <c r="G3">
        <f>AVERAGE(B2:B33)</f>
        <v>5.5224280102179559</v>
      </c>
      <c r="H3">
        <f>AVERAGE(C2:C33)</f>
        <v>7.0344094119331263E-2</v>
      </c>
      <c r="K3" s="1"/>
    </row>
    <row r="4" spans="1:11" ht="42.75">
      <c r="A4" s="1" t="s">
        <v>13</v>
      </c>
      <c r="B4" s="1">
        <v>5.6047427761818804</v>
      </c>
      <c r="C4" s="1">
        <v>7.0994631005327505E-2</v>
      </c>
      <c r="F4" t="s">
        <v>2</v>
      </c>
      <c r="G4">
        <f>_xlfn.STDEV.S(B2:B33)</f>
        <v>5.2565047947849344E-2</v>
      </c>
      <c r="H4">
        <f>_xlfn.STDEV.S(C2:C33)</f>
        <v>7.211297498026381E-4</v>
      </c>
      <c r="K4" s="1"/>
    </row>
    <row r="5" spans="1:11" ht="42.75">
      <c r="A5" s="1" t="s">
        <v>14</v>
      </c>
      <c r="B5" s="1">
        <v>5.5960936640263199</v>
      </c>
      <c r="C5" s="1">
        <v>7.01413654005653E-2</v>
      </c>
      <c r="F5" t="s">
        <v>3</v>
      </c>
      <c r="G5">
        <f>G4/G3/SQRT(COUNT(B2:B33))</f>
        <v>2.3796167125488131E-3</v>
      </c>
      <c r="H5">
        <f>H4/H3/SQRT(COUNT(C2:C33))</f>
        <v>2.5628652939197649E-3</v>
      </c>
      <c r="K5" s="1"/>
    </row>
    <row r="6" spans="1:11" ht="42.75">
      <c r="A6" s="1" t="s">
        <v>15</v>
      </c>
      <c r="B6" s="1">
        <v>5.4713363021862502</v>
      </c>
      <c r="C6" s="1">
        <v>7.1625188956317504E-2</v>
      </c>
      <c r="K6" s="1"/>
    </row>
    <row r="7" spans="1:11" ht="42.75">
      <c r="A7" s="1" t="s">
        <v>16</v>
      </c>
      <c r="B7" s="1">
        <v>5.5409104673644096</v>
      </c>
      <c r="C7" s="1">
        <v>7.04951567436682E-2</v>
      </c>
      <c r="K7" s="1"/>
    </row>
    <row r="8" spans="1:11" ht="42.75">
      <c r="A8" s="1" t="s">
        <v>17</v>
      </c>
      <c r="B8" s="1">
        <v>5.55013048416959</v>
      </c>
      <c r="C8" s="1">
        <v>7.1076737537177401E-2</v>
      </c>
      <c r="K8" s="1"/>
    </row>
    <row r="9" spans="1:11" ht="42.75">
      <c r="A9" s="1" t="s">
        <v>18</v>
      </c>
      <c r="B9" s="1">
        <v>5.5616342974163304</v>
      </c>
      <c r="C9" s="1">
        <v>7.0296602179900303E-2</v>
      </c>
      <c r="K9" s="1"/>
    </row>
    <row r="10" spans="1:11" ht="42.75">
      <c r="A10" s="1" t="s">
        <v>19</v>
      </c>
      <c r="B10" s="1">
        <v>5.5301083552827803</v>
      </c>
      <c r="C10" s="1">
        <v>7.0157369715004997E-2</v>
      </c>
      <c r="K10" s="1"/>
    </row>
    <row r="11" spans="1:11" ht="42.75">
      <c r="A11" s="1" t="s">
        <v>20</v>
      </c>
      <c r="B11" s="1">
        <v>5.4935494282478201</v>
      </c>
      <c r="C11" s="1">
        <v>7.0955354830624304E-2</v>
      </c>
      <c r="K11" s="1"/>
    </row>
    <row r="12" spans="1:11" ht="42.75">
      <c r="A12" s="1" t="s">
        <v>21</v>
      </c>
      <c r="B12" s="1">
        <v>5.4627011461568502</v>
      </c>
      <c r="C12" s="1">
        <v>7.0402355659330701E-2</v>
      </c>
      <c r="K12" s="1"/>
    </row>
    <row r="13" spans="1:11" ht="42.75">
      <c r="A13" s="1" t="s">
        <v>22</v>
      </c>
      <c r="B13" s="1">
        <v>5.5557750287565701</v>
      </c>
      <c r="C13" s="1">
        <v>6.9408807064024997E-2</v>
      </c>
      <c r="K13" s="1"/>
    </row>
    <row r="14" spans="1:11" ht="42.75">
      <c r="A14" s="1" t="s">
        <v>23</v>
      </c>
      <c r="B14" s="1">
        <v>5.5014512688728496</v>
      </c>
      <c r="C14" s="1">
        <v>7.0420029676822898E-2</v>
      </c>
      <c r="K14" s="1"/>
    </row>
    <row r="15" spans="1:11" ht="42.75">
      <c r="A15" s="1" t="s">
        <v>24</v>
      </c>
      <c r="B15" s="1">
        <v>5.4947589504036598</v>
      </c>
      <c r="C15" s="1">
        <v>7.1119616242477604E-2</v>
      </c>
      <c r="K15" s="1"/>
    </row>
    <row r="16" spans="1:11" ht="42.75">
      <c r="A16" s="1" t="s">
        <v>25</v>
      </c>
      <c r="B16" s="1">
        <v>5.5489303201094904</v>
      </c>
      <c r="C16" s="1">
        <v>6.8778607126876098E-2</v>
      </c>
      <c r="K16" s="1"/>
    </row>
    <row r="17" spans="1:11" ht="42.75">
      <c r="A17" s="1" t="s">
        <v>26</v>
      </c>
      <c r="B17" s="1">
        <v>5.4160645106972503</v>
      </c>
      <c r="C17" s="1">
        <v>6.9985374084186203E-2</v>
      </c>
      <c r="K17" s="1"/>
    </row>
    <row r="18" spans="1:11">
      <c r="A18" s="1"/>
      <c r="B18" s="1"/>
      <c r="C18" s="1"/>
    </row>
    <row r="19" spans="1:11">
      <c r="A19" s="1"/>
      <c r="B19" s="1"/>
      <c r="C19" s="1"/>
    </row>
    <row r="20" spans="1:11">
      <c r="A20" s="1"/>
      <c r="B20" s="1"/>
      <c r="C20" s="1"/>
    </row>
    <row r="21" spans="1:11">
      <c r="A21" s="1"/>
      <c r="B21" s="1"/>
      <c r="C21" s="1"/>
    </row>
    <row r="22" spans="1:11">
      <c r="A22" s="1"/>
      <c r="B22" s="1"/>
      <c r="C22" s="1"/>
    </row>
    <row r="23" spans="1:11">
      <c r="A23" s="1"/>
      <c r="B23" s="1"/>
      <c r="C23" s="1"/>
    </row>
    <row r="24" spans="1:11">
      <c r="A24" s="1"/>
      <c r="B24" s="1"/>
      <c r="C24" s="1"/>
    </row>
    <row r="25" spans="1:11">
      <c r="A25" s="1"/>
      <c r="B25" s="1"/>
      <c r="C25" s="1"/>
    </row>
    <row r="26" spans="1:11">
      <c r="A26" s="1"/>
      <c r="B26" s="1"/>
      <c r="C26" s="1"/>
    </row>
    <row r="27" spans="1:11">
      <c r="A27" s="1"/>
      <c r="B27" s="1"/>
      <c r="C27" s="1"/>
    </row>
    <row r="28" spans="1:11">
      <c r="A28" s="1"/>
      <c r="B28" s="1"/>
      <c r="C28" s="1"/>
    </row>
    <row r="29" spans="1:11">
      <c r="A29" s="1"/>
      <c r="B29" s="1"/>
      <c r="C29" s="1"/>
    </row>
    <row r="30" spans="1:11">
      <c r="A30" s="1"/>
      <c r="B30" s="1"/>
      <c r="C30" s="1"/>
    </row>
    <row r="31" spans="1:11">
      <c r="A31" s="1"/>
      <c r="B31" s="1"/>
      <c r="C31" s="1"/>
    </row>
    <row r="32" spans="1:11">
      <c r="A32" s="1"/>
      <c r="B32" s="1"/>
      <c r="C32" s="1"/>
    </row>
    <row r="33" spans="1:3">
      <c r="A33" s="1"/>
      <c r="B33" s="1"/>
      <c r="C33" s="1"/>
    </row>
    <row r="34" spans="1:3"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2026-07-02T20:16:14Z</dcterms:modified>
</cp:coreProperties>
</file>