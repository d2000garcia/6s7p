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n19,2026\"/>
    </mc:Choice>
  </mc:AlternateContent>
  <xr:revisionPtr revIDLastSave="0" documentId="13_ncr:1_{23DD69C9-757E-41CE-BD75-20CE3C6B6C0E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F3" i="3"/>
  <c r="F4" i="3"/>
  <c r="G5" i="3" l="1"/>
  <c r="F5" i="3"/>
</calcChain>
</file>

<file path=xl/sharedStrings.xml><?xml version="1.0" encoding="utf-8"?>
<sst xmlns="http://schemas.openxmlformats.org/spreadsheetml/2006/main" count="37" uniqueCount="16">
  <si>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</si>
  <si>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</si>
  <si>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</si>
  <si>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</si>
  <si>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</si>
  <si>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</si>
  <si>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</si>
  <si>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</si>
  <si>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</si>
  <si>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</si>
  <si>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</si>
  <si>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Jun19,2026+1-46-06PM</t>
  </si>
  <si>
    <t>Jun19,2026+2-21-05PM</t>
  </si>
  <si>
    <t>Jun19,2026+2-29-04PM</t>
  </si>
  <si>
    <t>Jun19,2026+2-44-59PM</t>
  </si>
  <si>
    <t>Jun19,2026+2-56-09PM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</si>
</sst>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3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</row>
    <row r="2" spans="1:22" ht="42.75">
      <c r="A2" s="1" t="s">
        <v>11</v>
      </c>
      <c r="B2" s="1">
        <v>10.6539096425895</v>
      </c>
      <c r="C2" s="1">
        <v>1.3382960643700801</v>
      </c>
      <c r="D2" s="1">
        <v>-2.13100983573584E-3</v>
      </c>
      <c r="E2" s="1">
        <v>2.3219667080002502</v>
      </c>
      <c r="F2" s="1">
        <v>41.667267309998302</v>
      </c>
      <c r="G2" s="1">
        <v>2.7167735645746102E-3</v>
      </c>
      <c r="H2" s="1"/>
      <c r="L2" s="1"/>
      <c r="M2" s="1"/>
      <c r="N2" s="1"/>
      <c r="O2" s="1"/>
      <c r="P2" s="1"/>
      <c r="Q2" s="1"/>
      <c r="R2" s="1"/>
      <c r="S2" s="1"/>
    </row>
    <row r="3" spans="1:22" ht="42.75">
      <c r="A3" s="1" t="s">
        <v>12</v>
      </c>
      <c r="B3" s="1">
        <v>10.8579810008815</v>
      </c>
      <c r="C3" s="1">
        <v>1.33825242346657</v>
      </c>
      <c r="D3" s="1">
        <v>-2.3376558887683099E-3</v>
      </c>
      <c r="E3" s="1">
        <v>2.3274269662594098</v>
      </c>
      <c r="F3" s="1">
        <v>39.674611862431703</v>
      </c>
      <c r="G3" s="1">
        <v>2.28730049571938E-3</v>
      </c>
      <c r="H3" s="1"/>
      <c r="O3" s="1"/>
      <c r="P3" s="1"/>
      <c r="Q3" s="1"/>
      <c r="R3" s="1"/>
      <c r="S3" s="1"/>
      <c r="T3" s="1"/>
      <c r="U3" s="1"/>
      <c r="V3" s="1"/>
    </row>
    <row r="4" spans="1:22" ht="42.75">
      <c r="A4" s="1" t="s">
        <v>13</v>
      </c>
      <c r="B4" s="1">
        <v>10.831312443746899</v>
      </c>
      <c r="C4" s="1">
        <v>1.3378665176095399</v>
      </c>
      <c r="D4" s="1">
        <v>-2.3644098345702602E-3</v>
      </c>
      <c r="E4" s="1">
        <v>2.3250248551322299</v>
      </c>
      <c r="F4" s="1">
        <v>39.701994700000803</v>
      </c>
      <c r="G4" s="1">
        <v>2.2873004957021099E-3</v>
      </c>
      <c r="H4" s="1"/>
    </row>
    <row r="5" spans="1:22" ht="42.75">
      <c r="A5" s="1" t="s">
        <v>14</v>
      </c>
      <c r="B5" s="1">
        <v>10.709515833036701</v>
      </c>
      <c r="C5" s="1">
        <v>1.33202572215732</v>
      </c>
      <c r="D5" s="1">
        <v>-2.4951068009484599E-3</v>
      </c>
      <c r="E5" s="1">
        <v>2.3229938322477</v>
      </c>
      <c r="F5" s="1">
        <v>40.664675185289902</v>
      </c>
      <c r="G5" s="1">
        <v>2.4327633036132202E-3</v>
      </c>
      <c r="H5" s="1"/>
    </row>
    <row r="6" spans="1:22" ht="42.75">
      <c r="A6" s="1" t="s">
        <v>15</v>
      </c>
      <c r="B6" s="1">
        <v>10.5903781690852</v>
      </c>
      <c r="C6" s="1">
        <v>1.3393185265014</v>
      </c>
      <c r="D6" s="1">
        <v>-2.4612390013956202E-3</v>
      </c>
      <c r="E6" s="1">
        <v>2.3233912817651898</v>
      </c>
      <c r="F6" s="1">
        <v>40.961131574165002</v>
      </c>
      <c r="G6" s="1">
        <v>3.7063492141315799E-3</v>
      </c>
      <c r="H6" s="1"/>
    </row>
    <row r="7" spans="1:22">
      <c r="A7" s="1"/>
      <c r="B7" s="1"/>
      <c r="C7" s="1"/>
      <c r="D7" s="1"/>
      <c r="E7" s="1"/>
      <c r="F7" s="1"/>
      <c r="G7" s="1"/>
      <c r="H7" s="1"/>
      <c r="S7" s="1"/>
    </row>
    <row r="8" spans="1:22">
      <c r="A8" s="1"/>
      <c r="B8" s="1"/>
      <c r="C8" s="1"/>
      <c r="D8" s="1"/>
      <c r="E8" s="1"/>
      <c r="F8" s="1"/>
      <c r="G8" s="1"/>
      <c r="H8" s="1"/>
      <c r="S8" s="1"/>
    </row>
    <row r="9" spans="1:22">
      <c r="A9" s="1"/>
      <c r="B9" s="1"/>
      <c r="C9" s="1"/>
      <c r="D9" s="1"/>
      <c r="E9" s="1"/>
      <c r="F9" s="1"/>
      <c r="G9" s="1"/>
      <c r="H9" s="1"/>
      <c r="S9" s="1"/>
    </row>
    <row r="10" spans="1:22">
      <c r="A10" s="1"/>
      <c r="B10" s="1"/>
      <c r="C10" s="1"/>
      <c r="D10" s="1"/>
      <c r="E10" s="1"/>
      <c r="F10" s="1"/>
      <c r="G10" s="1"/>
      <c r="H10" s="1"/>
      <c r="S10" s="1"/>
    </row>
    <row r="11" spans="1:22">
      <c r="A11" s="1"/>
      <c r="B11" s="1"/>
      <c r="C11" s="1"/>
      <c r="D11" s="1"/>
      <c r="E11" s="1"/>
      <c r="F11" s="1"/>
      <c r="G11" s="1"/>
      <c r="H11" s="1"/>
      <c r="R11" s="1"/>
    </row>
    <row r="12" spans="1:22">
      <c r="A12" s="1"/>
      <c r="B12" s="1"/>
      <c r="C12" s="1"/>
      <c r="D12" s="1"/>
      <c r="E12" s="1"/>
      <c r="F12" s="1"/>
      <c r="G12" s="1"/>
      <c r="H12" s="1"/>
      <c r="R12" s="1"/>
    </row>
    <row r="13" spans="1:22">
      <c r="A13" s="1"/>
      <c r="B13" s="1"/>
      <c r="C13" s="1"/>
      <c r="D13" s="1"/>
      <c r="E13" s="1"/>
      <c r="F13" s="1"/>
      <c r="G13" s="1"/>
      <c r="H13" s="1"/>
      <c r="R13" s="1"/>
    </row>
    <row r="14" spans="1:22">
      <c r="A14" s="1"/>
      <c r="B14" s="1"/>
      <c r="C14" s="1"/>
      <c r="D14" s="1"/>
      <c r="E14" s="1"/>
      <c r="F14" s="1"/>
      <c r="G14" s="1"/>
      <c r="H14" s="1"/>
      <c r="R14" s="1"/>
    </row>
    <row r="15" spans="1:22">
      <c r="A15" s="1"/>
      <c r="B15" s="1"/>
      <c r="C15" s="1"/>
      <c r="D15" s="1"/>
      <c r="E15" s="1"/>
      <c r="F15" s="1"/>
      <c r="G15" s="1"/>
      <c r="H15" s="1"/>
      <c r="R15" s="1"/>
    </row>
    <row r="16" spans="1:22">
      <c r="A16" s="1"/>
      <c r="B16" s="1"/>
      <c r="C16" s="1"/>
      <c r="D16" s="1"/>
      <c r="E16" s="1"/>
      <c r="F16" s="1"/>
      <c r="G16" s="1"/>
      <c r="H16" s="1"/>
      <c r="R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</row>
    <row r="23" spans="1:8">
      <c r="A23" s="1"/>
      <c r="B23" s="1"/>
      <c r="C23" s="1"/>
      <c r="D23" s="1"/>
      <c r="E23" s="1"/>
      <c r="F23" s="1"/>
      <c r="G23" s="1"/>
    </row>
    <row r="24" spans="1:8">
      <c r="A24" s="1"/>
      <c r="B24" s="1"/>
      <c r="C24" s="1"/>
      <c r="D24" s="1"/>
      <c r="E24" s="1"/>
      <c r="F24" s="1"/>
      <c r="G24" s="1"/>
    </row>
    <row r="25" spans="1:8">
      <c r="A25" s="1"/>
      <c r="B25" s="1"/>
      <c r="C25" s="1"/>
      <c r="D25" s="1"/>
      <c r="E25" s="1"/>
      <c r="F25" s="1"/>
      <c r="G25" s="1"/>
    </row>
    <row r="26" spans="1:8">
      <c r="A26" s="1"/>
      <c r="B26" s="1"/>
      <c r="C26" s="1"/>
      <c r="D26" s="1"/>
      <c r="E26" s="1"/>
      <c r="F26" s="1"/>
      <c r="G26" s="1"/>
    </row>
    <row r="27" spans="1:8">
      <c r="A27" s="1"/>
      <c r="B27" s="1"/>
      <c r="C27" s="1"/>
      <c r="D27" s="1"/>
      <c r="E27" s="1"/>
      <c r="F27" s="1"/>
      <c r="G27" s="1"/>
    </row>
    <row r="28" spans="1:8">
      <c r="A28" s="1"/>
      <c r="B28" s="1"/>
      <c r="C28" s="1"/>
      <c r="D28" s="1"/>
      <c r="E28" s="1"/>
      <c r="F28" s="1"/>
      <c r="G28" s="1"/>
    </row>
    <row r="29" spans="1:8">
      <c r="A29" s="1"/>
      <c r="B29" s="1"/>
      <c r="C29" s="1"/>
      <c r="D29" s="1"/>
      <c r="E29" s="1"/>
      <c r="F29" s="1"/>
      <c r="G29" s="1"/>
    </row>
    <row r="30" spans="1:8">
      <c r="A30" s="1"/>
      <c r="B30" s="1"/>
      <c r="C30" s="1"/>
      <c r="D30" s="1"/>
      <c r="E30" s="1"/>
      <c r="F30" s="1"/>
      <c r="G30" s="1"/>
    </row>
    <row r="31" spans="1:8">
      <c r="A31" s="1"/>
      <c r="B31" s="1"/>
      <c r="C31" s="1"/>
      <c r="D31" s="1"/>
      <c r="E31" s="1"/>
      <c r="F31" s="1"/>
      <c r="G31" s="1"/>
    </row>
    <row r="32" spans="1:8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zoomScale="99" zoomScaleNormal="99" workbookViewId="0">
      <selection activeCell="A2" sqref="A2:B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0.13307975295074501</v>
      </c>
      <c r="C2" s="1">
        <v>1.5266208406873301</v>
      </c>
      <c r="D2" s="1">
        <v>2.1436916680285501E-3</v>
      </c>
      <c r="E2" s="1">
        <v>-1.6549626245490899E-4</v>
      </c>
      <c r="F2" s="1">
        <v>3.1664635139120301</v>
      </c>
      <c r="G2" s="1">
        <v>39.665599100091903</v>
      </c>
      <c r="H2" s="1">
        <v>5.7857693438353997E-4</v>
      </c>
      <c r="L2" s="1"/>
      <c r="M2" s="1"/>
      <c r="N2" s="1"/>
      <c r="O2" s="1"/>
      <c r="P2" s="1"/>
      <c r="Q2" s="1"/>
      <c r="R2" s="1"/>
      <c r="S2" s="1"/>
    </row>
    <row r="3" spans="1:20" ht="42.75">
      <c r="A3" s="1" t="s">
        <v>12</v>
      </c>
      <c r="B3" s="1">
        <v>0.13372258287568001</v>
      </c>
      <c r="C3" s="1">
        <v>1.52759869265257</v>
      </c>
      <c r="D3" s="1">
        <v>2.0359765500301899E-3</v>
      </c>
      <c r="E3" s="1">
        <v>-1.72283906292379E-4</v>
      </c>
      <c r="F3" s="1">
        <v>2.9169079846133399</v>
      </c>
      <c r="G3" s="1">
        <v>39.688246063962303</v>
      </c>
      <c r="H3" s="1">
        <v>5.7857698146839801E-4</v>
      </c>
      <c r="L3" s="1"/>
      <c r="M3" s="1"/>
      <c r="N3" s="1"/>
      <c r="O3" s="1"/>
      <c r="P3" s="1"/>
      <c r="Q3" s="1"/>
      <c r="R3" s="1"/>
      <c r="S3" s="1"/>
      <c r="T3" s="1"/>
    </row>
    <row r="4" spans="1:20" ht="42.75">
      <c r="A4" s="1" t="s">
        <v>13</v>
      </c>
      <c r="B4" s="1">
        <v>0.13573289163324301</v>
      </c>
      <c r="C4" s="1">
        <v>1.5272401774234501</v>
      </c>
      <c r="D4" s="1">
        <v>2.2107522685790699E-3</v>
      </c>
      <c r="E4" s="1">
        <v>-2.0639909087115301E-4</v>
      </c>
      <c r="F4" s="1">
        <v>2.9196017622038299</v>
      </c>
      <c r="G4" s="1">
        <v>40.1792585824887</v>
      </c>
      <c r="H4" s="1">
        <v>6.3027238728623701E-4</v>
      </c>
    </row>
    <row r="5" spans="1:20" ht="42.75">
      <c r="A5" s="1" t="s">
        <v>14</v>
      </c>
      <c r="B5" s="1">
        <v>0.13770965349766401</v>
      </c>
      <c r="C5" s="1">
        <v>1.5261618980818801</v>
      </c>
      <c r="D5" s="1">
        <v>2.3479175366752599E-3</v>
      </c>
      <c r="E5" s="1">
        <v>-1.9603358766553299E-4</v>
      </c>
      <c r="F5" s="1">
        <v>2.9135864205975901</v>
      </c>
      <c r="G5" s="1">
        <v>41.706175468619598</v>
      </c>
      <c r="H5" s="1">
        <v>7.7715365341871501E-4</v>
      </c>
    </row>
    <row r="6" spans="1:20" ht="42.75">
      <c r="A6" s="1" t="s">
        <v>15</v>
      </c>
      <c r="B6" s="1">
        <v>0.137389858296152</v>
      </c>
      <c r="C6" s="1">
        <v>1.5276359260771399</v>
      </c>
      <c r="D6" s="1">
        <v>1.9018582425665599E-3</v>
      </c>
      <c r="E6" s="1">
        <v>-1.4403941588760801E-4</v>
      </c>
      <c r="F6" s="1">
        <v>2.9259323454866402</v>
      </c>
      <c r="G6" s="1">
        <v>41.743404412322</v>
      </c>
      <c r="H6" s="1">
        <v>5.7954114581065602E-4</v>
      </c>
    </row>
    <row r="7" spans="1:20">
      <c r="A7" s="1"/>
      <c r="B7" s="1"/>
      <c r="C7" s="1"/>
      <c r="D7" s="1"/>
      <c r="E7" s="1"/>
      <c r="F7" s="1"/>
      <c r="G7" s="1"/>
      <c r="H7" s="1"/>
    </row>
    <row r="8" spans="1:20">
      <c r="A8" s="1"/>
      <c r="B8" s="1"/>
      <c r="C8" s="1"/>
      <c r="D8" s="1"/>
      <c r="E8" s="1"/>
      <c r="F8" s="1"/>
      <c r="G8" s="1"/>
      <c r="H8" s="1"/>
    </row>
    <row r="9" spans="1:20">
      <c r="A9" s="1"/>
      <c r="B9" s="1"/>
      <c r="C9" s="1"/>
      <c r="D9" s="1"/>
      <c r="E9" s="1"/>
      <c r="F9" s="1"/>
      <c r="G9" s="1"/>
      <c r="H9" s="1"/>
    </row>
    <row r="10" spans="1:20">
      <c r="A10" s="1"/>
      <c r="B10" s="1"/>
      <c r="C10" s="1"/>
      <c r="D10" s="1"/>
      <c r="E10" s="1"/>
      <c r="F10" s="1"/>
      <c r="G10" s="1"/>
      <c r="H10" s="1"/>
    </row>
    <row r="11" spans="1:20">
      <c r="A11" s="1"/>
      <c r="B11" s="1"/>
      <c r="C11" s="1"/>
      <c r="D11" s="1"/>
      <c r="E11" s="1"/>
      <c r="F11" s="1"/>
      <c r="G11" s="1"/>
      <c r="H11" s="1"/>
    </row>
    <row r="12" spans="1:20">
      <c r="A12" s="1"/>
      <c r="B12" s="1"/>
      <c r="C12" s="1"/>
      <c r="D12" s="1"/>
      <c r="E12" s="1"/>
      <c r="F12" s="1"/>
      <c r="G12" s="1"/>
      <c r="H12" s="1"/>
    </row>
    <row r="13" spans="1:20">
      <c r="A13" s="1"/>
      <c r="B13" s="1"/>
      <c r="C13" s="1"/>
      <c r="D13" s="1"/>
      <c r="E13" s="1"/>
      <c r="F13" s="1"/>
      <c r="G13" s="1"/>
      <c r="H13" s="1"/>
    </row>
    <row r="14" spans="1:20">
      <c r="A14" s="1"/>
      <c r="B14" s="1"/>
      <c r="C14" s="1"/>
      <c r="D14" s="1"/>
      <c r="E14" s="1"/>
      <c r="F14" s="1"/>
      <c r="G14" s="1"/>
      <c r="H14" s="1"/>
    </row>
    <row r="15" spans="1:20">
      <c r="A15" s="1"/>
      <c r="B15" s="1"/>
      <c r="C15" s="1"/>
      <c r="D15" s="1"/>
      <c r="E15" s="1"/>
      <c r="F15" s="1"/>
      <c r="G15" s="1"/>
      <c r="H15" s="1"/>
    </row>
    <row r="16" spans="1:20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2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2"/>
      <c r="E40" s="2"/>
      <c r="F40" s="1"/>
      <c r="G40" s="1"/>
      <c r="H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I38"/>
  <sheetViews>
    <sheetView tabSelected="1" workbookViewId="0">
      <selection activeCell="D8" sqref="D8"/>
    </sheetView>
  </sheetViews>
  <sheetFormatPr defaultRowHeight="14.25"/>
  <cols>
    <col min="1" max="2" width="11.625" customWidth="1"/>
    <col min="5" max="5" width="16.75" customWidth="1"/>
  </cols>
  <sheetData>
    <row r="1" spans="1:9">
      <c r="A1" s="1" t="s">
        <v>0</v>
      </c>
      <c r="B1" s="1" t="s">
        <v>4</v>
      </c>
      <c r="C1" s="1" t="s">
        <v>4</v>
      </c>
    </row>
    <row r="2" spans="1:9" ht="28.5">
      <c r="A2" s="1" t="s">
        <v>11</v>
      </c>
      <c r="B2" s="1">
        <v>10.6539096425895</v>
      </c>
      <c r="C2" s="1">
        <v>0.13307975295074501</v>
      </c>
      <c r="F2">
        <v>894</v>
      </c>
      <c r="G2">
        <v>456</v>
      </c>
      <c r="I2" s="1"/>
    </row>
    <row r="3" spans="1:9" ht="28.5">
      <c r="A3" s="1" t="s">
        <v>12</v>
      </c>
      <c r="B3" s="1">
        <v>10.8579810008815</v>
      </c>
      <c r="C3" s="1">
        <v>0.13372258287568001</v>
      </c>
      <c r="E3" t="s">
        <v>1</v>
      </c>
      <c r="F3">
        <f>AVERAGE(B2:B33)</f>
        <v>10.728619417867961</v>
      </c>
      <c r="G3">
        <f>AVERAGE(C2:C33)</f>
        <v>0.1355269478506968</v>
      </c>
      <c r="I3" s="1"/>
    </row>
    <row r="4" spans="1:9" ht="28.5">
      <c r="A4" s="1" t="s">
        <v>13</v>
      </c>
      <c r="B4" s="1">
        <v>10.831312443746899</v>
      </c>
      <c r="C4" s="1">
        <v>0.13573289163324301</v>
      </c>
      <c r="E4" t="s">
        <v>2</v>
      </c>
      <c r="F4">
        <f>_xlfn.STDEV.S(B2:B33)</f>
        <v>0.11438686229690165</v>
      </c>
      <c r="G4">
        <f>_xlfn.STDEV.S(C2:C33)</f>
        <v>2.0929374066175196E-3</v>
      </c>
      <c r="I4" s="1"/>
    </row>
    <row r="5" spans="1:9" ht="28.5">
      <c r="A5" s="1" t="s">
        <v>14</v>
      </c>
      <c r="B5" s="1">
        <v>10.709515833036701</v>
      </c>
      <c r="C5" s="1">
        <v>0.13770965349766401</v>
      </c>
      <c r="E5" t="s">
        <v>3</v>
      </c>
      <c r="F5">
        <f>F4/F3/SQRT(COUNT(B2:B33))</f>
        <v>4.7681214118341598E-3</v>
      </c>
      <c r="G5">
        <f>G4/G3/SQRT(COUNT(C2:C33))</f>
        <v>6.906302234452379E-3</v>
      </c>
      <c r="I5" s="1"/>
    </row>
    <row r="6" spans="1:9" ht="28.5">
      <c r="A6" s="1" t="s">
        <v>15</v>
      </c>
      <c r="B6" s="1">
        <v>10.5903781690852</v>
      </c>
      <c r="C6" s="1">
        <v>0.137389858296152</v>
      </c>
      <c r="I6" s="1"/>
    </row>
    <row r="7" spans="1:9">
      <c r="A7" s="1"/>
      <c r="B7" s="1"/>
      <c r="C7" s="1"/>
    </row>
    <row r="8" spans="1:9">
      <c r="A8" s="1"/>
      <c r="B8" s="1"/>
      <c r="C8" s="1"/>
    </row>
    <row r="9" spans="1:9">
      <c r="A9" s="1"/>
      <c r="B9" s="1"/>
      <c r="C9" s="1"/>
    </row>
    <row r="10" spans="1:9">
      <c r="A10" s="1"/>
      <c r="B10" s="1"/>
      <c r="C10" s="1"/>
    </row>
    <row r="11" spans="1:9">
      <c r="A11" s="1"/>
      <c r="B11" s="1"/>
      <c r="C11" s="1"/>
    </row>
    <row r="12" spans="1:9">
      <c r="A12" s="1"/>
      <c r="B12" s="1"/>
      <c r="C12" s="1"/>
    </row>
    <row r="13" spans="1:9">
      <c r="A13" s="1"/>
      <c r="B13" s="1"/>
      <c r="C13" s="1"/>
    </row>
    <row r="14" spans="1:9">
      <c r="A14" s="1"/>
      <c r="B14" s="1"/>
      <c r="C14" s="1"/>
    </row>
    <row r="15" spans="1:9">
      <c r="A15" s="1"/>
      <c r="B15" s="1"/>
      <c r="C15" s="1"/>
    </row>
    <row r="16" spans="1:9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C34" s="1"/>
    </row>
    <row r="35" spans="1:3">
      <c r="C35" s="1"/>
    </row>
    <row r="36" spans="1:3">
      <c r="C36" s="1"/>
    </row>
    <row r="37" spans="1:3">
      <c r="C37" s="1"/>
    </row>
    <row r="38" spans="1:3">
      <c r="C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2026-07-02T20:35:55Z</dcterms:modified>
</cp:coreProperties>
</file>