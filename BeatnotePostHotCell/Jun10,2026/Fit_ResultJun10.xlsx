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0,2026\"/>
    </mc:Choice>
  </mc:AlternateContent>
  <xr:revisionPtr revIDLastSave="0" documentId="13_ncr:1_{66F04BCA-8014-49BB-A012-6D4060343485}" xr6:coauthVersionLast="47" xr6:coauthVersionMax="47" xr10:uidLastSave="{00000000-0000-0000-0000-000000000000}"/>
  <bookViews>
    <workbookView xWindow="3829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3" l="1"/>
  <c r="I5" i="3"/>
  <c r="I4" i="3"/>
  <c r="H4" i="3"/>
  <c r="I3" i="3"/>
  <c r="H3" i="3"/>
</calcChain>
</file>

<file path=xl/sharedStrings.xml><?xml version="1.0" encoding="utf-8"?>
<sst xmlns="http://schemas.openxmlformats.org/spreadsheetml/2006/main" count="125" uniqueCount="50">
  <si>
    <t>Date</t>
  </si>
  <si>
    <t>Alpha</t>
  </si>
  <si>
    <t>P0</t>
  </si>
  <si>
    <t>h1</t>
  </si>
  <si>
    <t>mv</t>
  </si>
  <si>
    <t>T</t>
  </si>
  <si>
    <t>gamma</t>
  </si>
  <si>
    <t>offset</t>
  </si>
  <si>
    <t>Jun10,2026+1-58-17PM</t>
  </si>
  <si>
    <t>Jun10,2026+2-06-24PM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</si>
  <si>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</si>
  <si>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</si>
  <si>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</si>
  <si>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</si>
  <si>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</si>
  <si>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</si>
  <si>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</si>
  <si>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</si>
  <si>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</si>
  <si>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</si>
  <si>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</si>
  <si>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</si>
  <si>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</si>
  <si>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</si>
  <si>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Jun10,2026+1-14-58PM</t>
  </si>
  <si>
    <t>Jun10,2026+1-23-09PM</t>
  </si>
  <si>
    <t>Jun10,2026+1-32-10PM</t>
  </si>
  <si>
    <t>Jun10,2026+1-41-03PM</t>
  </si>
  <si>
    <t>Jun10,2026+1-50-02PM</t>
  </si>
  <si>
    <t>Jun10,2026+10-01-34AM</t>
  </si>
  <si>
    <t>Jun10,2026+10-09-51AM</t>
  </si>
  <si>
    <t>Jun10,2026+10-17-51AM</t>
  </si>
  <si>
    <t>Jun10,2026+10-33-44AM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</si>
  <si>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</si>
  <si>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</si>
  <si>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</si>
  <si>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</si>
  <si>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</si>
  <si>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Jun10,2026+11-29-52AM</t>
  </si>
  <si>
    <t>Jun10,2026+11-45-04AM</t>
  </si>
  <si>
    <t>Jun10,2026+11-53-19AM</t>
  </si>
  <si>
    <t>Jun10,2026+12-15-54PM</t>
  </si>
  <si>
    <t>Jun10,2026+12-25-01PM</t>
  </si>
  <si>
    <t>Jun10,2026+12-33-01PM</t>
  </si>
  <si>
    <t>Jun10,2026+12-41-09PM</t>
  </si>
  <si>
    <t>Jun10,2026+12-49-04PM</t>
  </si>
  <si>
    <t>Jun10,2026+12-57-09PM</t>
  </si>
  <si>
    <t>Mean</t>
  </si>
  <si>
    <t>STD</t>
  </si>
  <si>
    <t>Mean/std/sqrt(n)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</si>
</sst>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R33"/>
  <sheetViews>
    <sheetView workbookViewId="0">
      <selection sqref="A1:B104857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/>
      <c r="L1" s="1"/>
      <c r="M1" s="1"/>
      <c r="N1" s="1"/>
      <c r="O1" s="1"/>
      <c r="P1" s="1"/>
      <c r="Q1" s="1"/>
      <c r="R1" s="1"/>
    </row>
    <row r="2" spans="1:18" ht="43.5" x14ac:dyDescent="0.35">
      <c r="A2" s="1" t="s">
        <v>29</v>
      </c>
      <c r="B2" s="1">
        <v>7.0733851626533504</v>
      </c>
      <c r="C2" s="1">
        <v>1.3282195512881501</v>
      </c>
      <c r="D2" s="1">
        <v>-1.13275263705638E-3</v>
      </c>
      <c r="E2" s="1">
        <v>1.8753135589389001</v>
      </c>
      <c r="F2" s="1">
        <v>62.7865835982454</v>
      </c>
      <c r="G2" s="1">
        <v>4.0694967039949202E-3</v>
      </c>
      <c r="H2" s="1"/>
      <c r="R2" s="1"/>
    </row>
    <row r="3" spans="1:18" ht="43.5" x14ac:dyDescent="0.35">
      <c r="A3" s="1" t="s">
        <v>30</v>
      </c>
      <c r="B3" s="1">
        <v>7.0645821415754702</v>
      </c>
      <c r="C3" s="1">
        <v>1.3253281672623101</v>
      </c>
      <c r="D3" s="1">
        <v>-1.05900750115078E-3</v>
      </c>
      <c r="E3" s="1">
        <v>1.8736590701378499</v>
      </c>
      <c r="F3" s="1">
        <v>62.7686589999999</v>
      </c>
      <c r="G3" s="1">
        <v>3.28048556527091E-3</v>
      </c>
      <c r="H3" s="1"/>
      <c r="R3" s="1"/>
    </row>
    <row r="4" spans="1:18" ht="43.5" x14ac:dyDescent="0.35">
      <c r="A4" s="1" t="s">
        <v>31</v>
      </c>
      <c r="B4" s="1">
        <v>7.0594232243202404</v>
      </c>
      <c r="C4" s="1">
        <v>1.32791561344511</v>
      </c>
      <c r="D4" s="1">
        <v>-2.38776078809222E-3</v>
      </c>
      <c r="E4" s="1">
        <v>1.87395030873136</v>
      </c>
      <c r="F4" s="1">
        <v>62.7301972097898</v>
      </c>
      <c r="G4" s="1">
        <v>3.5404673455327199E-3</v>
      </c>
      <c r="H4" s="1"/>
      <c r="R4" s="1"/>
    </row>
    <row r="5" spans="1:18" ht="43.5" x14ac:dyDescent="0.35">
      <c r="A5" s="1" t="s">
        <v>33</v>
      </c>
      <c r="B5" s="1">
        <v>7.0595369414161802</v>
      </c>
      <c r="C5" s="1">
        <v>1.3236299162569101</v>
      </c>
      <c r="D5" s="1">
        <v>-2.0116420944021399E-3</v>
      </c>
      <c r="E5" s="1">
        <v>1.87638233342343</v>
      </c>
      <c r="F5" s="1">
        <v>61.9166730662145</v>
      </c>
      <c r="G5" s="1">
        <v>3.69993869520182E-3</v>
      </c>
      <c r="H5" s="1"/>
      <c r="R5" s="1"/>
    </row>
    <row r="6" spans="1:18" ht="43.5" x14ac:dyDescent="0.35">
      <c r="A6" s="1" t="s">
        <v>34</v>
      </c>
      <c r="B6" s="1">
        <v>7.1355028757261403</v>
      </c>
      <c r="C6" s="1">
        <v>1.3235081108715701</v>
      </c>
      <c r="D6" s="1">
        <v>-2.1984681837633698E-3</v>
      </c>
      <c r="E6" s="1">
        <v>1.8776874340090199</v>
      </c>
      <c r="F6" s="1">
        <v>61.748620759904497</v>
      </c>
      <c r="G6" s="1">
        <v>2.9348746191345701E-3</v>
      </c>
      <c r="H6" s="1"/>
      <c r="R6" s="1"/>
    </row>
    <row r="7" spans="1:18" ht="43.5" x14ac:dyDescent="0.35">
      <c r="A7" s="1" t="s">
        <v>35</v>
      </c>
      <c r="B7" s="1">
        <v>7.1742988315936698</v>
      </c>
      <c r="C7" s="1">
        <v>1.3229022051336901</v>
      </c>
      <c r="D7" s="1">
        <v>-1.98591989294933E-3</v>
      </c>
      <c r="E7" s="1">
        <v>1.8840501258153599</v>
      </c>
      <c r="F7" s="1">
        <v>62.465118312942302</v>
      </c>
      <c r="G7" s="1">
        <v>2.2873004959952899E-3</v>
      </c>
      <c r="H7" s="1"/>
      <c r="R7" s="1"/>
    </row>
    <row r="8" spans="1:18" ht="43.5" x14ac:dyDescent="0.35">
      <c r="A8" s="1" t="s">
        <v>36</v>
      </c>
      <c r="B8" s="1">
        <v>7.2143004246012596</v>
      </c>
      <c r="C8" s="1">
        <v>1.3234362474404</v>
      </c>
      <c r="D8" s="1">
        <v>-2.0300202594542701E-3</v>
      </c>
      <c r="E8" s="1">
        <v>1.8831333654464899</v>
      </c>
      <c r="F8" s="1">
        <v>60.741193730011503</v>
      </c>
      <c r="G8" s="1">
        <v>2.2873004957062E-3</v>
      </c>
      <c r="H8" s="1"/>
      <c r="R8" s="1"/>
    </row>
    <row r="9" spans="1:18" ht="43.5" x14ac:dyDescent="0.35">
      <c r="A9" s="1" t="s">
        <v>37</v>
      </c>
      <c r="B9" s="1">
        <v>7.1896716464449897</v>
      </c>
      <c r="C9" s="1">
        <v>1.3238781580508501</v>
      </c>
      <c r="D9" s="1">
        <v>-2.0859717404381E-3</v>
      </c>
      <c r="E9" s="1">
        <v>1.88158848959292</v>
      </c>
      <c r="F9" s="1">
        <v>60.7392126300143</v>
      </c>
      <c r="G9" s="1">
        <v>2.28730049570277E-3</v>
      </c>
      <c r="H9" s="1"/>
      <c r="R9" s="1"/>
    </row>
    <row r="10" spans="1:18" ht="43.5" x14ac:dyDescent="0.35">
      <c r="A10" s="1" t="s">
        <v>39</v>
      </c>
      <c r="B10" s="1">
        <v>7.0740088746791701</v>
      </c>
      <c r="C10" s="1">
        <v>1.32509781107805</v>
      </c>
      <c r="D10" s="1">
        <v>-2.4901091592604901E-3</v>
      </c>
      <c r="E10" s="1">
        <v>1.8755456951581599</v>
      </c>
      <c r="F10" s="1">
        <v>62.801167158583603</v>
      </c>
      <c r="G10" s="1">
        <v>3.8461298080104999E-3</v>
      </c>
      <c r="H10" s="1"/>
      <c r="R10" s="1"/>
    </row>
    <row r="11" spans="1:18" ht="43.5" x14ac:dyDescent="0.35">
      <c r="A11" s="1" t="s">
        <v>40</v>
      </c>
      <c r="B11" s="1">
        <v>7.1243444840245997</v>
      </c>
      <c r="C11" s="1">
        <v>1.32084972055892</v>
      </c>
      <c r="D11" s="1">
        <v>-1.7932565941323501E-3</v>
      </c>
      <c r="E11" s="1">
        <v>1.87732264735418</v>
      </c>
      <c r="F11" s="1">
        <v>62.794488829105802</v>
      </c>
      <c r="G11" s="1">
        <v>2.5790505721919599E-3</v>
      </c>
      <c r="H11" s="1"/>
      <c r="R11" s="1"/>
    </row>
    <row r="12" spans="1:18" ht="43.5" x14ac:dyDescent="0.35">
      <c r="A12" s="1" t="s">
        <v>42</v>
      </c>
      <c r="B12" s="1">
        <v>7.0585349758452001</v>
      </c>
      <c r="C12" s="1">
        <v>1.32128705163603</v>
      </c>
      <c r="D12" s="1">
        <v>-2.2221531534280001E-3</v>
      </c>
      <c r="E12" s="1">
        <v>1.87232037518748</v>
      </c>
      <c r="F12" s="1">
        <v>62.005187212314198</v>
      </c>
      <c r="G12" s="1">
        <v>3.5915085600540502E-3</v>
      </c>
      <c r="H12" s="1"/>
      <c r="R12" s="1"/>
    </row>
    <row r="13" spans="1:18" ht="43.5" x14ac:dyDescent="0.35">
      <c r="A13" s="1" t="s">
        <v>43</v>
      </c>
      <c r="B13" s="1">
        <v>7.0753396553470003</v>
      </c>
      <c r="C13" s="1">
        <v>1.32106696602264</v>
      </c>
      <c r="D13" s="1">
        <v>-2.1503209577455702E-3</v>
      </c>
      <c r="E13" s="1">
        <v>1.8747989039683699</v>
      </c>
      <c r="F13" s="1">
        <v>62.861270079505097</v>
      </c>
      <c r="G13" s="1">
        <v>4.1090260455221303E-3</v>
      </c>
      <c r="H13" s="1"/>
      <c r="R13" s="1"/>
    </row>
    <row r="14" spans="1:18" ht="43.5" x14ac:dyDescent="0.35">
      <c r="A14" s="1" t="s">
        <v>44</v>
      </c>
      <c r="B14" s="1">
        <v>7.0929763944296802</v>
      </c>
      <c r="C14" s="1">
        <v>1.3206102299056699</v>
      </c>
      <c r="D14" s="1">
        <v>-2.7066479602190002E-3</v>
      </c>
      <c r="E14" s="1">
        <v>1.8773686470038899</v>
      </c>
      <c r="F14" s="1">
        <v>62.850860329984897</v>
      </c>
      <c r="G14" s="1">
        <v>2.6413807996301499E-3</v>
      </c>
      <c r="H14" s="1"/>
      <c r="R14" s="1"/>
    </row>
    <row r="15" spans="1:18" ht="43.5" x14ac:dyDescent="0.35">
      <c r="A15" s="1" t="s">
        <v>24</v>
      </c>
      <c r="B15" s="1">
        <v>7.1058506533772503</v>
      </c>
      <c r="C15" s="1">
        <v>1.3214688548393601</v>
      </c>
      <c r="D15" s="1">
        <v>-2.4933794285919401E-3</v>
      </c>
      <c r="E15" s="1">
        <v>1.8722719912963799</v>
      </c>
      <c r="F15" s="1">
        <v>60.912379986066497</v>
      </c>
      <c r="G15" s="1">
        <v>2.28730050411916E-3</v>
      </c>
      <c r="H15" s="1"/>
      <c r="R15" s="1"/>
    </row>
    <row r="16" spans="1:18" ht="43.5" x14ac:dyDescent="0.35">
      <c r="A16" s="1" t="s">
        <v>25</v>
      </c>
      <c r="B16" s="1">
        <v>7.1002899790140797</v>
      </c>
      <c r="C16" s="1">
        <v>1.3214621443608801</v>
      </c>
      <c r="D16" s="1">
        <v>-2.0935654189776901E-3</v>
      </c>
      <c r="E16" s="1">
        <v>1.8715887803414999</v>
      </c>
      <c r="F16" s="1">
        <v>62.927833927173602</v>
      </c>
      <c r="G16" s="1">
        <v>2.9122974542821001E-3</v>
      </c>
      <c r="H16" s="1"/>
      <c r="R16" s="1"/>
    </row>
    <row r="17" spans="1:8" ht="43.5" x14ac:dyDescent="0.35">
      <c r="A17" s="1" t="s">
        <v>26</v>
      </c>
      <c r="B17" s="1">
        <v>7.0521776395148397</v>
      </c>
      <c r="C17" s="1">
        <v>1.3222256819925999</v>
      </c>
      <c r="D17" s="1">
        <v>-2.0942523586366499E-3</v>
      </c>
      <c r="E17" s="1">
        <v>1.82398996356954</v>
      </c>
      <c r="F17" s="1">
        <v>62.9116748899268</v>
      </c>
      <c r="G17" s="1">
        <v>3.6527426303379698E-3</v>
      </c>
      <c r="H17" s="1"/>
    </row>
    <row r="18" spans="1:8" ht="43.5" x14ac:dyDescent="0.35">
      <c r="A18" s="1" t="s">
        <v>28</v>
      </c>
      <c r="B18" s="1">
        <v>7.1167399746803</v>
      </c>
      <c r="C18" s="1">
        <v>1.3209050299186</v>
      </c>
      <c r="D18" s="1">
        <v>-2.19549990338333E-3</v>
      </c>
      <c r="E18" s="1">
        <v>1.8757981690839001</v>
      </c>
      <c r="F18" s="1">
        <v>62.281589834896103</v>
      </c>
      <c r="G18" s="1">
        <v>4.2751797675996597E-3</v>
      </c>
      <c r="H18" s="1"/>
    </row>
    <row r="19" spans="1:8" ht="43.5" x14ac:dyDescent="0.35">
      <c r="A19" s="1" t="s">
        <v>8</v>
      </c>
      <c r="B19" s="1">
        <v>7.1150966196750796</v>
      </c>
      <c r="C19" s="1">
        <v>1.3207711291391599</v>
      </c>
      <c r="D19" s="1">
        <v>-2.0227038450503902E-3</v>
      </c>
      <c r="E19" s="1">
        <v>1.87742718590219</v>
      </c>
      <c r="F19" s="1">
        <v>62.956295149549199</v>
      </c>
      <c r="G19" s="1">
        <v>3.0037944622478998E-3</v>
      </c>
      <c r="H19" s="1"/>
    </row>
    <row r="20" spans="1:8" ht="43.5" x14ac:dyDescent="0.35">
      <c r="A20" s="1" t="s">
        <v>10</v>
      </c>
      <c r="B20" s="1">
        <v>7.1580456374110897</v>
      </c>
      <c r="C20" s="1">
        <v>1.32403643874677</v>
      </c>
      <c r="D20" s="1">
        <v>-2.1772903857940899E-3</v>
      </c>
      <c r="E20" s="1">
        <v>1.8771290063102499</v>
      </c>
      <c r="F20" s="1">
        <v>61.689654175846201</v>
      </c>
      <c r="G20" s="1">
        <v>2.28872961424282E-3</v>
      </c>
      <c r="H20" s="1"/>
    </row>
    <row r="21" spans="1:8" ht="43.5" x14ac:dyDescent="0.35">
      <c r="A21" s="1" t="s">
        <v>11</v>
      </c>
      <c r="B21" s="1">
        <v>7.2190634878376496</v>
      </c>
      <c r="C21" s="1">
        <v>1.3218663757323099</v>
      </c>
      <c r="D21" s="1">
        <v>-2.3823841130156198E-3</v>
      </c>
      <c r="E21" s="1">
        <v>1.87625592379204</v>
      </c>
      <c r="F21" s="1">
        <v>60.9660766300332</v>
      </c>
      <c r="G21" s="1">
        <v>2.28730049573068E-3</v>
      </c>
      <c r="H21" s="1"/>
    </row>
    <row r="22" spans="1:8" ht="43.5" x14ac:dyDescent="0.35">
      <c r="A22" s="1" t="s">
        <v>12</v>
      </c>
      <c r="B22" s="1">
        <v>7.2062880356903998</v>
      </c>
      <c r="C22" s="1">
        <v>1.3170221688932899</v>
      </c>
      <c r="D22" s="1">
        <v>-1.9970273051413299E-3</v>
      </c>
      <c r="E22" s="1">
        <v>1.8735022579983001</v>
      </c>
      <c r="F22" s="1">
        <v>60.997578640227204</v>
      </c>
      <c r="G22" s="1">
        <v>2.2873004957460999E-3</v>
      </c>
    </row>
    <row r="23" spans="1:8" ht="43.5" x14ac:dyDescent="0.35">
      <c r="A23" s="1" t="s">
        <v>13</v>
      </c>
      <c r="B23" s="1">
        <v>7.1744031277414697</v>
      </c>
      <c r="C23" s="1">
        <v>1.3196600015175399</v>
      </c>
      <c r="D23" s="1">
        <v>-2.2899290002577101E-3</v>
      </c>
      <c r="E23" s="1">
        <v>1.8744279116207501</v>
      </c>
      <c r="F23" s="1">
        <v>60.989251610021199</v>
      </c>
      <c r="G23" s="1">
        <v>2.2873004957064801E-3</v>
      </c>
    </row>
    <row r="24" spans="1:8" ht="43.5" x14ac:dyDescent="0.35">
      <c r="A24" s="1" t="s">
        <v>14</v>
      </c>
      <c r="B24" s="1">
        <v>7.1782561712895996</v>
      </c>
      <c r="C24" s="1">
        <v>1.3194839751874701</v>
      </c>
      <c r="D24" s="1">
        <v>-2.2233729620636301E-3</v>
      </c>
      <c r="E24" s="1">
        <v>1.82334305543484</v>
      </c>
      <c r="F24" s="1">
        <v>60.997869620015003</v>
      </c>
      <c r="G24" s="1">
        <v>2.28730049570141E-3</v>
      </c>
    </row>
    <row r="25" spans="1:8" ht="43.5" x14ac:dyDescent="0.35">
      <c r="A25" s="1" t="s">
        <v>15</v>
      </c>
      <c r="B25" s="1">
        <v>7.1789296294298</v>
      </c>
      <c r="C25" s="1">
        <v>1.31886511792023</v>
      </c>
      <c r="D25" s="1">
        <v>-2.3247133544626402E-3</v>
      </c>
      <c r="E25" s="1">
        <v>1.82256694933375</v>
      </c>
      <c r="F25" s="1">
        <v>60.992718760000102</v>
      </c>
      <c r="G25" s="1">
        <v>2.2873004958968101E-3</v>
      </c>
    </row>
    <row r="26" spans="1:8" ht="43.5" x14ac:dyDescent="0.35">
      <c r="A26" s="1" t="s">
        <v>16</v>
      </c>
      <c r="B26" s="1">
        <v>7.1380410516405304</v>
      </c>
      <c r="C26" s="1">
        <v>1.31881385619229</v>
      </c>
      <c r="D26" s="1">
        <v>-2.0590490553474001E-3</v>
      </c>
      <c r="E26" s="1">
        <v>1.8222327949618999</v>
      </c>
      <c r="F26" s="1">
        <v>61.845903338024399</v>
      </c>
      <c r="G26" s="1">
        <v>2.2873004957051002E-3</v>
      </c>
    </row>
    <row r="27" spans="1:8" ht="43.5" x14ac:dyDescent="0.35">
      <c r="A27" s="1" t="s">
        <v>17</v>
      </c>
      <c r="B27" s="1">
        <v>7.1009576964689503</v>
      </c>
      <c r="C27" s="1">
        <v>1.3193207840235801</v>
      </c>
      <c r="D27" s="1">
        <v>-2.1918673864451698E-3</v>
      </c>
      <c r="E27" s="1">
        <v>1.8714014580209399</v>
      </c>
      <c r="F27" s="1">
        <v>63.006817100385803</v>
      </c>
      <c r="G27" s="1">
        <v>2.4942052655924198E-3</v>
      </c>
    </row>
    <row r="28" spans="1:8" ht="43.5" x14ac:dyDescent="0.35">
      <c r="A28" s="1" t="s">
        <v>18</v>
      </c>
      <c r="B28" s="1">
        <v>7.1095475512566804</v>
      </c>
      <c r="C28" s="1">
        <v>1.3199059246786999</v>
      </c>
      <c r="D28" s="1">
        <v>-1.9105654696475801E-3</v>
      </c>
      <c r="E28" s="1">
        <v>1.82224144445828</v>
      </c>
      <c r="F28" s="1">
        <v>63.023036211068501</v>
      </c>
      <c r="G28" s="1">
        <v>2.3425024242361898E-3</v>
      </c>
    </row>
    <row r="29" spans="1:8" ht="43.5" x14ac:dyDescent="0.35">
      <c r="A29" s="1" t="s">
        <v>19</v>
      </c>
      <c r="B29" s="1">
        <v>7.1520505928297498</v>
      </c>
      <c r="C29" s="1">
        <v>1.3222356401887301</v>
      </c>
      <c r="D29" s="1">
        <v>-2.1696377853635701E-3</v>
      </c>
      <c r="E29" s="1">
        <v>1.82168409610145</v>
      </c>
      <c r="F29" s="1">
        <v>61.974738684973097</v>
      </c>
      <c r="G29" s="1">
        <v>2.5594812956546398E-3</v>
      </c>
    </row>
    <row r="30" spans="1:8" ht="43.5" x14ac:dyDescent="0.35">
      <c r="A30" s="1" t="s">
        <v>20</v>
      </c>
      <c r="B30" s="1">
        <v>7.1324554911158904</v>
      </c>
      <c r="C30" s="1">
        <v>1.31958624274943</v>
      </c>
      <c r="D30" s="1">
        <v>-1.8448626264583701E-3</v>
      </c>
      <c r="E30" s="1">
        <v>1.82235545692831</v>
      </c>
      <c r="F30" s="1">
        <v>61.004188400017902</v>
      </c>
      <c r="G30" s="1">
        <v>2.28730049570362E-3</v>
      </c>
    </row>
    <row r="31" spans="1:8" ht="43.5" x14ac:dyDescent="0.35">
      <c r="A31" s="1" t="s">
        <v>21</v>
      </c>
      <c r="B31" s="1">
        <v>7.1772995060305798</v>
      </c>
      <c r="C31" s="1">
        <v>1.32145991631971</v>
      </c>
      <c r="D31" s="1">
        <v>-1.6277810752595499E-3</v>
      </c>
      <c r="E31" s="1">
        <v>1.82330132789371</v>
      </c>
      <c r="F31" s="1">
        <v>61.008430159618797</v>
      </c>
      <c r="G31" s="1">
        <v>2.2873004957052602E-3</v>
      </c>
    </row>
    <row r="32" spans="1:8" ht="43.5" x14ac:dyDescent="0.35">
      <c r="A32" s="1" t="s">
        <v>22</v>
      </c>
      <c r="B32" s="1">
        <v>7.13962874760949</v>
      </c>
      <c r="C32" s="1">
        <v>1.3235342645453601</v>
      </c>
      <c r="D32" s="1">
        <v>-1.84338497617159E-3</v>
      </c>
      <c r="E32" s="1">
        <v>1.8224863381291201</v>
      </c>
      <c r="F32" s="1">
        <v>61.033498199675002</v>
      </c>
      <c r="G32" s="1">
        <v>2.2873004993176002E-3</v>
      </c>
    </row>
    <row r="33" spans="1:7" ht="43.5" x14ac:dyDescent="0.35">
      <c r="A33" s="1" t="s">
        <v>23</v>
      </c>
      <c r="B33" s="1">
        <v>7.1606128880127899</v>
      </c>
      <c r="C33" s="1">
        <v>1.3239546488437499</v>
      </c>
      <c r="D33" s="1">
        <v>-1.9275646895976701E-3</v>
      </c>
      <c r="E33" s="1">
        <v>1.82219881680845</v>
      </c>
      <c r="F33" s="1">
        <v>61.148971069906899</v>
      </c>
      <c r="G33" s="1">
        <v>2.28730049584909E-3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29</v>
      </c>
      <c r="B2" s="1">
        <v>0.117218052017694</v>
      </c>
      <c r="C2" s="1">
        <v>1.47574630490105</v>
      </c>
      <c r="D2" s="1">
        <v>-9.1075820748321497E-4</v>
      </c>
      <c r="E2" s="2">
        <v>2.68272305608428E-5</v>
      </c>
      <c r="F2" s="1">
        <v>2.2273611015762098</v>
      </c>
      <c r="G2" s="1">
        <v>60.793101660976298</v>
      </c>
      <c r="H2" s="1">
        <v>6.3579365799506604E-4</v>
      </c>
    </row>
    <row r="3" spans="1:20" ht="43.5" x14ac:dyDescent="0.35">
      <c r="A3" s="1" t="s">
        <v>30</v>
      </c>
      <c r="B3" s="1">
        <v>0.116738218899043</v>
      </c>
      <c r="C3" s="1">
        <v>1.4748889513194401</v>
      </c>
      <c r="D3" s="1">
        <v>-3.0803909919536001E-4</v>
      </c>
      <c r="E3" s="2">
        <v>-6.8366635643412406E-5</v>
      </c>
      <c r="F3" s="1">
        <v>2.6865674598556799</v>
      </c>
      <c r="G3" s="1">
        <v>62.107612451032601</v>
      </c>
      <c r="H3" s="1">
        <v>1.0722400524266101E-3</v>
      </c>
    </row>
    <row r="4" spans="1:20" ht="43.5" x14ac:dyDescent="0.35">
      <c r="A4" s="1" t="s">
        <v>31</v>
      </c>
      <c r="B4" s="1">
        <v>0.116641895814922</v>
      </c>
      <c r="C4" s="1">
        <v>1.4747765701935101</v>
      </c>
      <c r="D4" s="1">
        <v>-9.4015118816539003E-4</v>
      </c>
      <c r="E4" s="2">
        <v>4.7838035742508899E-5</v>
      </c>
      <c r="F4" s="1">
        <v>1.9745546640859299</v>
      </c>
      <c r="G4" s="1">
        <v>60.772397273331798</v>
      </c>
      <c r="H4" s="1">
        <v>5.8153774867740905E-4</v>
      </c>
    </row>
    <row r="5" spans="1:20" ht="43.5" x14ac:dyDescent="0.35">
      <c r="A5" s="1" t="s">
        <v>32</v>
      </c>
      <c r="B5" s="1">
        <v>0.11248563271776001</v>
      </c>
      <c r="C5" s="1">
        <v>1.4744227547789099</v>
      </c>
      <c r="D5" s="1">
        <v>-6.4164405375229702E-4</v>
      </c>
      <c r="E5" s="2">
        <v>2.50590778074886E-5</v>
      </c>
      <c r="F5" s="1">
        <v>1.9760119101032101</v>
      </c>
      <c r="G5" s="1">
        <v>60.723982285018501</v>
      </c>
      <c r="H5" s="1">
        <v>6.4240363832248498E-4</v>
      </c>
    </row>
    <row r="6" spans="1:20" ht="43.5" x14ac:dyDescent="0.35">
      <c r="A6" s="1" t="s">
        <v>33</v>
      </c>
      <c r="B6" s="1">
        <v>0.117986722306339</v>
      </c>
      <c r="C6" s="1">
        <v>1.4742694512377501</v>
      </c>
      <c r="D6" s="1">
        <v>-6.6744942891326599E-4</v>
      </c>
      <c r="E6" s="2">
        <v>1.7075223340194702E-5</v>
      </c>
      <c r="F6" s="1">
        <v>1.9785331683152201</v>
      </c>
      <c r="G6" s="1">
        <v>62.706896092859303</v>
      </c>
      <c r="H6" s="1">
        <v>1.02641560302921E-3</v>
      </c>
    </row>
    <row r="7" spans="1:20" ht="43.5" x14ac:dyDescent="0.35">
      <c r="A7" s="1" t="s">
        <v>34</v>
      </c>
      <c r="B7" s="1">
        <v>0.116363944216263</v>
      </c>
      <c r="C7" s="1">
        <v>1.4751113530112301</v>
      </c>
      <c r="D7" s="1">
        <v>-7.2066843821110504E-4</v>
      </c>
      <c r="E7" s="2">
        <v>4.0000234563253799E-5</v>
      </c>
      <c r="F7" s="1">
        <v>1.9866996217808199</v>
      </c>
      <c r="G7" s="1">
        <v>60.745668865732299</v>
      </c>
      <c r="H7" s="1">
        <v>5.8805886347450698E-4</v>
      </c>
    </row>
    <row r="8" spans="1:20" ht="43.5" x14ac:dyDescent="0.35">
      <c r="A8" s="1" t="s">
        <v>35</v>
      </c>
      <c r="B8" s="1">
        <v>0.117960737624138</v>
      </c>
      <c r="C8" s="1">
        <v>1.4752031768018401</v>
      </c>
      <c r="D8" s="1">
        <v>-4.5145011633356501E-4</v>
      </c>
      <c r="E8" s="2">
        <v>-1.5281675459127898E-5</v>
      </c>
      <c r="F8" s="1">
        <v>2.2341535240539399</v>
      </c>
      <c r="G8" s="1">
        <v>62.2860390082948</v>
      </c>
      <c r="H8" s="1">
        <v>8.9228691644675795E-4</v>
      </c>
    </row>
    <row r="9" spans="1:20" ht="43.5" x14ac:dyDescent="0.35">
      <c r="A9" s="1" t="s">
        <v>36</v>
      </c>
      <c r="B9" s="1">
        <v>0.11777189549636199</v>
      </c>
      <c r="C9" s="1">
        <v>1.47586956038813</v>
      </c>
      <c r="D9" s="1">
        <v>-9.45874426810827E-4</v>
      </c>
      <c r="E9" s="2">
        <v>7.2081149556097205E-5</v>
      </c>
      <c r="F9" s="1">
        <v>2.2346795705809499</v>
      </c>
      <c r="G9" s="1">
        <v>60.741931554557297</v>
      </c>
      <c r="H9" s="1">
        <v>7.6557598549494802E-4</v>
      </c>
    </row>
    <row r="10" spans="1:20" ht="43.5" x14ac:dyDescent="0.35">
      <c r="A10" s="1" t="s">
        <v>37</v>
      </c>
      <c r="B10" s="1">
        <v>0.118362346500101</v>
      </c>
      <c r="C10" s="1">
        <v>1.47480542370045</v>
      </c>
      <c r="D10" s="1">
        <v>1.20281484929041E-4</v>
      </c>
      <c r="E10" s="2">
        <v>-9.9941212348104199E-5</v>
      </c>
      <c r="F10" s="1">
        <v>2.4854761022802099</v>
      </c>
      <c r="G10" s="1">
        <v>61.214324322250697</v>
      </c>
      <c r="H10" s="1">
        <v>7.9731109954564103E-4</v>
      </c>
    </row>
    <row r="11" spans="1:20" ht="43.5" x14ac:dyDescent="0.35">
      <c r="A11" s="1" t="s">
        <v>38</v>
      </c>
      <c r="B11" s="1">
        <v>0.115218928402134</v>
      </c>
      <c r="C11" s="1">
        <v>1.47549843692822</v>
      </c>
      <c r="D11" s="1">
        <v>-1.8424223746639501E-4</v>
      </c>
      <c r="E11" s="2">
        <v>-6.6834669423921695E-5</v>
      </c>
      <c r="F11" s="1">
        <v>2.5438028796137901</v>
      </c>
      <c r="G11" s="1">
        <v>60.773975121545099</v>
      </c>
      <c r="H11" s="1">
        <v>6.1123013451975399E-4</v>
      </c>
    </row>
    <row r="12" spans="1:20" ht="43.5" x14ac:dyDescent="0.35">
      <c r="A12" s="1" t="s">
        <v>39</v>
      </c>
      <c r="B12" s="1">
        <v>0.11875028071223</v>
      </c>
      <c r="C12" s="1">
        <v>1.4750888661585799</v>
      </c>
      <c r="D12" s="1">
        <v>-1.8199348947547001E-4</v>
      </c>
      <c r="E12" s="2">
        <v>-7.7956608582161306E-5</v>
      </c>
      <c r="F12" s="1">
        <v>1.72618110943022</v>
      </c>
      <c r="G12" s="1">
        <v>62.630018779787598</v>
      </c>
      <c r="H12" s="1">
        <v>1.1563092025745801E-3</v>
      </c>
    </row>
    <row r="13" spans="1:20" ht="43.5" x14ac:dyDescent="0.35">
      <c r="A13" s="1" t="s">
        <v>40</v>
      </c>
      <c r="B13" s="1">
        <v>0.118209453954305</v>
      </c>
      <c r="C13" s="1">
        <v>1.4745341606523701</v>
      </c>
      <c r="D13" s="1">
        <v>-5.1243429519438302E-4</v>
      </c>
      <c r="E13" s="2">
        <v>-1.86498726544234E-5</v>
      </c>
      <c r="F13" s="1">
        <v>2.2291402175722799</v>
      </c>
      <c r="G13" s="1">
        <v>62.798924076552701</v>
      </c>
      <c r="H13" s="1">
        <v>1.1318685217634899E-3</v>
      </c>
    </row>
    <row r="14" spans="1:20" ht="43.5" x14ac:dyDescent="0.35">
      <c r="A14" s="1" t="s">
        <v>41</v>
      </c>
      <c r="B14" s="1">
        <v>0.112666943057704</v>
      </c>
      <c r="C14" s="1">
        <v>1.4749162287895099</v>
      </c>
      <c r="D14" s="1">
        <v>-4.9253688677690702E-4</v>
      </c>
      <c r="E14" s="2">
        <v>-1.3680429389250701E-5</v>
      </c>
      <c r="F14" s="1">
        <v>2.4429138956280299</v>
      </c>
      <c r="G14" s="1">
        <v>60.8162388841519</v>
      </c>
      <c r="H14" s="1">
        <v>5.8271556032690101E-4</v>
      </c>
    </row>
    <row r="15" spans="1:20" ht="43.5" x14ac:dyDescent="0.35">
      <c r="A15" s="1" t="s">
        <v>42</v>
      </c>
      <c r="B15" s="1">
        <v>0.116577694816434</v>
      </c>
      <c r="C15" s="1">
        <v>1.47565197500262</v>
      </c>
      <c r="D15" s="1">
        <v>-2.29264814925449E-4</v>
      </c>
      <c r="E15" s="2">
        <v>-6.3872136284176694E-5</v>
      </c>
      <c r="F15" s="1">
        <v>1.7318567783995999</v>
      </c>
      <c r="G15" s="1">
        <v>60.850869367134599</v>
      </c>
      <c r="H15" s="1">
        <v>6.7505671579061997E-4</v>
      </c>
    </row>
    <row r="16" spans="1:20" ht="43.5" x14ac:dyDescent="0.35">
      <c r="A16" s="1" t="s">
        <v>43</v>
      </c>
      <c r="B16" s="1">
        <v>0.117670638852321</v>
      </c>
      <c r="C16" s="1">
        <v>1.4758470480227399</v>
      </c>
      <c r="D16" s="1">
        <v>-4.6152165860934702E-4</v>
      </c>
      <c r="E16" s="2">
        <v>-2.5606631226033701E-5</v>
      </c>
      <c r="F16" s="1">
        <v>1.6832675131666801</v>
      </c>
      <c r="G16" s="1">
        <v>60.845894662885499</v>
      </c>
      <c r="H16" s="1">
        <v>1.1305102244806701E-3</v>
      </c>
    </row>
    <row r="17" spans="1:8" ht="43.5" x14ac:dyDescent="0.35">
      <c r="A17" s="1" t="s">
        <v>44</v>
      </c>
      <c r="B17" s="1">
        <v>0.118098845799444</v>
      </c>
      <c r="C17" s="1">
        <v>1.4750807638321399</v>
      </c>
      <c r="D17" s="2">
        <v>7.1832015214206196E-6</v>
      </c>
      <c r="E17" s="2">
        <v>-9.1688093633735795E-5</v>
      </c>
      <c r="F17" s="1">
        <v>1.98082629519836</v>
      </c>
      <c r="G17" s="1">
        <v>61.065029917009198</v>
      </c>
      <c r="H17" s="1">
        <v>6.4275037717725198E-4</v>
      </c>
    </row>
    <row r="18" spans="1:8" ht="43.5" x14ac:dyDescent="0.35">
      <c r="A18" s="1" t="s">
        <v>45</v>
      </c>
      <c r="B18" s="1">
        <v>0.11579122267429801</v>
      </c>
      <c r="C18" s="1">
        <v>1.4756226853465</v>
      </c>
      <c r="D18" s="1">
        <v>-5.7624635844757597E-4</v>
      </c>
      <c r="E18" s="2">
        <v>1.3472086682061799E-5</v>
      </c>
      <c r="F18" s="1">
        <v>1.98822294908533</v>
      </c>
      <c r="G18" s="1">
        <v>60.851367968198701</v>
      </c>
      <c r="H18" s="1">
        <v>5.80781513588563E-4</v>
      </c>
    </row>
    <row r="19" spans="1:8" ht="43.5" x14ac:dyDescent="0.35">
      <c r="A19" s="1" t="s">
        <v>46</v>
      </c>
      <c r="B19" s="1">
        <v>0.115462934360178</v>
      </c>
      <c r="C19" s="1">
        <v>1.4746822974385601</v>
      </c>
      <c r="D19" s="1">
        <v>-3.7604084380489701E-4</v>
      </c>
      <c r="E19" s="2">
        <v>5.4015496176959898E-6</v>
      </c>
      <c r="F19" s="1">
        <v>1.72746695410948</v>
      </c>
      <c r="G19" s="1">
        <v>60.903007523977898</v>
      </c>
      <c r="H19" s="1">
        <v>6.1434001622349597E-4</v>
      </c>
    </row>
    <row r="20" spans="1:8" ht="43.5" x14ac:dyDescent="0.35">
      <c r="A20" s="1" t="s">
        <v>24</v>
      </c>
      <c r="B20" s="1">
        <v>0.11655919684067299</v>
      </c>
      <c r="C20" s="1">
        <v>1.47543699306106</v>
      </c>
      <c r="D20" s="1">
        <v>-8.1069790130807796E-4</v>
      </c>
      <c r="E20" s="2">
        <v>9.2769668633032993E-5</v>
      </c>
      <c r="F20" s="1">
        <v>1.9732869687458701</v>
      </c>
      <c r="G20" s="1">
        <v>60.908396841306001</v>
      </c>
      <c r="H20" s="1">
        <v>5.9559715678698705E-4</v>
      </c>
    </row>
    <row r="21" spans="1:8" ht="43.5" x14ac:dyDescent="0.35">
      <c r="A21" s="1" t="s">
        <v>25</v>
      </c>
      <c r="B21" s="1">
        <v>0.118487075826876</v>
      </c>
      <c r="C21" s="1">
        <v>1.4748856461734301</v>
      </c>
      <c r="D21" s="1">
        <v>-2.5101310028236397E-4</v>
      </c>
      <c r="E21" s="2">
        <v>5.0681333992978002E-6</v>
      </c>
      <c r="F21" s="1">
        <v>1.9817967971097601</v>
      </c>
      <c r="G21" s="1">
        <v>62.883181992292002</v>
      </c>
      <c r="H21" s="1">
        <v>1.08770098509087E-3</v>
      </c>
    </row>
    <row r="22" spans="1:8" ht="43.5" x14ac:dyDescent="0.35">
      <c r="A22" s="1" t="s">
        <v>26</v>
      </c>
      <c r="B22" s="1">
        <v>0.117049111989703</v>
      </c>
      <c r="C22" s="1">
        <v>1.47478957635837</v>
      </c>
      <c r="D22" s="2">
        <v>-3.4792463370420798E-5</v>
      </c>
      <c r="E22" s="2">
        <v>-4.8890651156557901E-5</v>
      </c>
      <c r="F22" s="1">
        <v>2.18348957476698</v>
      </c>
      <c r="G22" s="1">
        <v>60.995280838427298</v>
      </c>
      <c r="H22" s="1">
        <v>5.7867707821156005E-4</v>
      </c>
    </row>
    <row r="23" spans="1:8" ht="43.5" x14ac:dyDescent="0.35">
      <c r="A23" s="1" t="s">
        <v>27</v>
      </c>
      <c r="B23" s="1">
        <v>0.11382696379874201</v>
      </c>
      <c r="C23" s="1">
        <v>1.4750292445755799</v>
      </c>
      <c r="D23" s="1">
        <v>-3.6022392139603099E-4</v>
      </c>
      <c r="E23" s="2">
        <v>1.00407888036818E-5</v>
      </c>
      <c r="F23" s="1">
        <v>1.9893309280810501</v>
      </c>
      <c r="G23" s="1">
        <v>60.9472221004728</v>
      </c>
      <c r="H23" s="1">
        <v>5.7857693437686497E-4</v>
      </c>
    </row>
    <row r="24" spans="1:8" ht="43.5" x14ac:dyDescent="0.35">
      <c r="A24" s="1" t="s">
        <v>28</v>
      </c>
      <c r="B24" s="1">
        <v>0.116964493443121</v>
      </c>
      <c r="C24" s="1">
        <v>1.4752025976155501</v>
      </c>
      <c r="D24" s="1">
        <v>-4.6117571072579303E-4</v>
      </c>
      <c r="E24" s="2">
        <v>1.7990017937014601E-5</v>
      </c>
      <c r="F24" s="1">
        <v>1.9763802822916701</v>
      </c>
      <c r="G24" s="1">
        <v>60.936817694798499</v>
      </c>
      <c r="H24" s="1">
        <v>8.3485843070444299E-4</v>
      </c>
    </row>
    <row r="25" spans="1:8" ht="43.5" x14ac:dyDescent="0.35">
      <c r="A25" s="1" t="s">
        <v>8</v>
      </c>
      <c r="B25" s="1">
        <v>0.1174932059815</v>
      </c>
      <c r="C25" s="1">
        <v>1.4744183266064099</v>
      </c>
      <c r="D25" s="2">
        <v>-5.4702927951104899E-5</v>
      </c>
      <c r="E25" s="2">
        <v>-4.2319216853115399E-5</v>
      </c>
      <c r="F25" s="1">
        <v>1.9752157757232101</v>
      </c>
      <c r="G25" s="1">
        <v>60.988758779755599</v>
      </c>
      <c r="H25" s="1">
        <v>6.9089868678139598E-4</v>
      </c>
    </row>
    <row r="26" spans="1:8" ht="43.5" x14ac:dyDescent="0.35">
      <c r="A26" s="1" t="s">
        <v>9</v>
      </c>
      <c r="B26" s="1">
        <v>0.115439704596003</v>
      </c>
      <c r="C26" s="1">
        <v>1.4749155937424601</v>
      </c>
      <c r="D26" s="1">
        <v>-1.9776280253540199E-4</v>
      </c>
      <c r="E26" s="2">
        <v>-8.4595454527815304E-6</v>
      </c>
      <c r="F26" s="1">
        <v>1.9767466651880301</v>
      </c>
      <c r="G26" s="1">
        <v>60.969691672600497</v>
      </c>
      <c r="H26" s="1">
        <v>6.5954852297093905E-4</v>
      </c>
    </row>
    <row r="27" spans="1:8" ht="43.5" x14ac:dyDescent="0.35">
      <c r="A27" s="1" t="s">
        <v>10</v>
      </c>
      <c r="B27" s="1">
        <v>0.118724780988732</v>
      </c>
      <c r="C27" s="1">
        <v>1.4752524278182999</v>
      </c>
      <c r="D27" s="1">
        <v>-2.14598368332037E-4</v>
      </c>
      <c r="E27" s="2">
        <v>1.2653139303334501E-6</v>
      </c>
      <c r="F27" s="1">
        <v>1.9811974088833499</v>
      </c>
      <c r="G27" s="1">
        <v>62.942094934564601</v>
      </c>
      <c r="H27" s="1">
        <v>1.0700538889500801E-3</v>
      </c>
    </row>
    <row r="28" spans="1:8" ht="43.5" x14ac:dyDescent="0.35">
      <c r="A28" s="1" t="s">
        <v>11</v>
      </c>
      <c r="B28" s="1">
        <v>0.11857414162119</v>
      </c>
      <c r="C28" s="1">
        <v>1.4754733037732399</v>
      </c>
      <c r="D28" s="1">
        <v>-3.0822468150292501E-4</v>
      </c>
      <c r="E28" s="2">
        <v>-2.9572103696778001E-6</v>
      </c>
      <c r="F28" s="1">
        <v>1.9812101828334101</v>
      </c>
      <c r="G28" s="1">
        <v>62.973267728712003</v>
      </c>
      <c r="H28" s="1">
        <v>1.1569324277096501E-3</v>
      </c>
    </row>
    <row r="29" spans="1:8" ht="43.5" x14ac:dyDescent="0.35">
      <c r="A29" s="1" t="s">
        <v>12</v>
      </c>
      <c r="B29" s="1">
        <v>0.116857985488521</v>
      </c>
      <c r="C29" s="1">
        <v>1.47572268646491</v>
      </c>
      <c r="D29" s="1">
        <v>-6.0971004276074597E-4</v>
      </c>
      <c r="E29" s="2">
        <v>3.8077624560930502E-5</v>
      </c>
      <c r="F29" s="1">
        <v>1.9321625296282601</v>
      </c>
      <c r="G29" s="1">
        <v>60.994241175690298</v>
      </c>
      <c r="H29" s="1">
        <v>6.3052164343179297E-4</v>
      </c>
    </row>
    <row r="30" spans="1:8" ht="43.5" x14ac:dyDescent="0.35">
      <c r="A30" s="1" t="s">
        <v>13</v>
      </c>
      <c r="B30" s="1">
        <v>0.117839930521939</v>
      </c>
      <c r="C30" s="1">
        <v>1.4748083408317101</v>
      </c>
      <c r="D30" s="1">
        <v>-2.10741796270059E-4</v>
      </c>
      <c r="E30" s="2">
        <v>-1.24398879094679E-5</v>
      </c>
      <c r="F30" s="1">
        <v>1.73371157373878</v>
      </c>
      <c r="G30" s="1">
        <v>60.994872990334201</v>
      </c>
      <c r="H30" s="1">
        <v>7.0466883170324196E-4</v>
      </c>
    </row>
    <row r="31" spans="1:8" ht="43.5" x14ac:dyDescent="0.35">
      <c r="A31" s="1" t="s">
        <v>14</v>
      </c>
      <c r="B31" s="1">
        <v>0.116123290748398</v>
      </c>
      <c r="C31" s="1">
        <v>1.4749732464056799</v>
      </c>
      <c r="D31" s="1">
        <v>-2.8720091398010301E-4</v>
      </c>
      <c r="E31" s="2">
        <v>-1.3168335264833401E-8</v>
      </c>
      <c r="F31" s="1">
        <v>1.7344296481600501</v>
      </c>
      <c r="G31" s="1">
        <v>61.007065052459801</v>
      </c>
      <c r="H31" s="1">
        <v>5.82506164344971E-4</v>
      </c>
    </row>
    <row r="32" spans="1:8" ht="43.5" x14ac:dyDescent="0.35">
      <c r="A32" s="1" t="s">
        <v>15</v>
      </c>
      <c r="B32" s="1">
        <v>0.116339626646247</v>
      </c>
      <c r="C32" s="1">
        <v>1.4745782713770501</v>
      </c>
      <c r="D32" s="1">
        <v>-6.5640648284887395E-4</v>
      </c>
      <c r="E32" s="2">
        <v>7.5911006603723494E-5</v>
      </c>
      <c r="F32" s="1">
        <v>1.7287254388723601</v>
      </c>
      <c r="G32" s="1">
        <v>61.998884815073801</v>
      </c>
      <c r="H32" s="1">
        <v>7.52206220616932E-4</v>
      </c>
    </row>
    <row r="33" spans="1:8" ht="43.5" x14ac:dyDescent="0.35">
      <c r="A33" s="1" t="s">
        <v>16</v>
      </c>
      <c r="B33" s="1">
        <v>0.118521454357363</v>
      </c>
      <c r="C33" s="1">
        <v>1.4735105169051499</v>
      </c>
      <c r="D33" s="1">
        <v>-2.825476197615E-4</v>
      </c>
      <c r="E33" s="2">
        <v>3.02315670134319E-5</v>
      </c>
      <c r="F33" s="1">
        <v>1.7316511415048601</v>
      </c>
      <c r="G33" s="1">
        <v>62.017771865447997</v>
      </c>
      <c r="H33" s="1">
        <v>7.5220540434781102E-4</v>
      </c>
    </row>
    <row r="34" spans="1:8" ht="43.5" x14ac:dyDescent="0.35">
      <c r="A34" s="1" t="s">
        <v>17</v>
      </c>
      <c r="B34" s="1">
        <v>0.117743388207075</v>
      </c>
      <c r="C34" s="1">
        <v>1.4756596303716001</v>
      </c>
      <c r="D34" s="1">
        <v>-6.2614506864232895E-4</v>
      </c>
      <c r="E34" s="2">
        <v>3.4492035987373903E-5</v>
      </c>
      <c r="F34" s="1">
        <v>2.2250925213633499</v>
      </c>
      <c r="G34" s="1">
        <v>61.336596103246102</v>
      </c>
      <c r="H34" s="1">
        <v>5.80029147208132E-4</v>
      </c>
    </row>
    <row r="35" spans="1:8" ht="43.5" x14ac:dyDescent="0.35">
      <c r="A35" s="1" t="s">
        <v>18</v>
      </c>
      <c r="B35" s="1">
        <v>0.116823099810358</v>
      </c>
      <c r="C35" s="1">
        <v>1.47529028195024</v>
      </c>
      <c r="D35" s="1">
        <v>-4.75851676415939E-4</v>
      </c>
      <c r="E35" s="2">
        <v>2.64696338197679E-5</v>
      </c>
      <c r="F35" s="1">
        <v>1.9336838124848601</v>
      </c>
      <c r="G35" s="1">
        <v>61.385432393339002</v>
      </c>
      <c r="H35" s="1">
        <v>6.85413495181085E-4</v>
      </c>
    </row>
    <row r="36" spans="1:8" ht="43.5" x14ac:dyDescent="0.35">
      <c r="A36" s="1" t="s">
        <v>19</v>
      </c>
      <c r="B36" s="1">
        <v>0.118509294607666</v>
      </c>
      <c r="C36" s="1">
        <v>1.4753145534094401</v>
      </c>
      <c r="D36" s="1">
        <v>-2.62478984227781E-4</v>
      </c>
      <c r="E36" s="2">
        <v>-2.6350627289203901E-5</v>
      </c>
      <c r="F36" s="1">
        <v>1.9741030881767001</v>
      </c>
      <c r="G36" s="1">
        <v>61.055520661869501</v>
      </c>
      <c r="H36" s="1">
        <v>6.5889055791112396E-4</v>
      </c>
    </row>
    <row r="37" spans="1:8" ht="43.5" x14ac:dyDescent="0.35">
      <c r="A37" s="1" t="s">
        <v>20</v>
      </c>
      <c r="B37" s="1">
        <v>0.118631007440724</v>
      </c>
      <c r="C37" s="1">
        <v>1.4753934464638401</v>
      </c>
      <c r="D37" s="1">
        <v>-4.3607733226335799E-4</v>
      </c>
      <c r="E37" s="2">
        <v>-7.6495971731603304E-7</v>
      </c>
      <c r="F37" s="1">
        <v>1.97393134199472</v>
      </c>
      <c r="G37" s="1">
        <v>62.203948450266203</v>
      </c>
      <c r="H37" s="1">
        <v>5.8226754429283295E-4</v>
      </c>
    </row>
    <row r="38" spans="1:8" ht="43.5" x14ac:dyDescent="0.35">
      <c r="A38" s="1" t="s">
        <v>21</v>
      </c>
      <c r="B38" s="1">
        <v>0.117484320873481</v>
      </c>
      <c r="C38" s="1">
        <v>1.47500236723988</v>
      </c>
      <c r="D38" s="1">
        <v>-4.2923020227059498E-4</v>
      </c>
      <c r="E38" s="2">
        <v>6.5288898109104896E-6</v>
      </c>
      <c r="F38" s="1">
        <v>1.9681376862822799</v>
      </c>
      <c r="G38" s="1">
        <v>63.000564860631897</v>
      </c>
      <c r="H38" s="1">
        <v>8.93078723405695E-4</v>
      </c>
    </row>
    <row r="39" spans="1:8" ht="43.5" x14ac:dyDescent="0.35">
      <c r="A39" s="1" t="s">
        <v>22</v>
      </c>
      <c r="B39" s="1">
        <v>0.118251546607688</v>
      </c>
      <c r="C39" s="1">
        <v>1.4752342120084601</v>
      </c>
      <c r="D39" s="1">
        <v>-4.4549507123329402E-4</v>
      </c>
      <c r="E39" s="2">
        <v>2.25478137392743E-6</v>
      </c>
      <c r="F39" s="1">
        <v>2.18581088304038</v>
      </c>
      <c r="G39" s="1">
        <v>63.040957378456397</v>
      </c>
      <c r="H39" s="1">
        <v>1.0279075782588199E-3</v>
      </c>
    </row>
    <row r="40" spans="1:8" ht="43.5" x14ac:dyDescent="0.35">
      <c r="A40" s="1" t="s">
        <v>23</v>
      </c>
      <c r="B40" s="1">
        <v>0.118181098472526</v>
      </c>
      <c r="C40" s="1">
        <v>1.47523686867126</v>
      </c>
      <c r="D40" s="2">
        <v>-5.4803270487520203E-5</v>
      </c>
      <c r="E40" s="2">
        <v>-6.8346955520591903E-5</v>
      </c>
      <c r="F40" s="1">
        <v>2.1898951538405802</v>
      </c>
      <c r="G40" s="1">
        <v>62.989237369559802</v>
      </c>
      <c r="H40" s="1">
        <v>1.15510971828036E-3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33"/>
  <sheetViews>
    <sheetView tabSelected="1" workbookViewId="0">
      <selection activeCell="J4" sqref="J4"/>
    </sheetView>
  </sheetViews>
  <sheetFormatPr defaultRowHeight="14.5" x14ac:dyDescent="0.35"/>
  <cols>
    <col min="7" max="7" width="16.7265625" customWidth="1"/>
  </cols>
  <sheetData>
    <row r="1" spans="1:9" x14ac:dyDescent="0.35">
      <c r="A1" s="1" t="s">
        <v>0</v>
      </c>
      <c r="B1" s="1" t="s">
        <v>1</v>
      </c>
      <c r="C1" s="1" t="s">
        <v>1</v>
      </c>
    </row>
    <row r="2" spans="1:9" ht="43.5" x14ac:dyDescent="0.35">
      <c r="A2" s="1" t="s">
        <v>29</v>
      </c>
      <c r="B2" s="1">
        <v>7.0733851626533504</v>
      </c>
      <c r="C2" s="1">
        <v>0.117218052017694</v>
      </c>
      <c r="H2">
        <v>894</v>
      </c>
      <c r="I2">
        <v>456</v>
      </c>
    </row>
    <row r="3" spans="1:9" ht="43.5" x14ac:dyDescent="0.35">
      <c r="A3" s="1" t="s">
        <v>30</v>
      </c>
      <c r="B3" s="1">
        <v>7.0645821415754702</v>
      </c>
      <c r="C3" s="1">
        <v>0.116738218899043</v>
      </c>
      <c r="G3" t="s">
        <v>47</v>
      </c>
      <c r="H3">
        <f>AVERAGE(B2:B33)</f>
        <v>7.1284887535400978</v>
      </c>
      <c r="I3">
        <f>AVERAGE(C2:C33)</f>
        <v>0.11760964929635552</v>
      </c>
    </row>
    <row r="4" spans="1:9" ht="43.5" x14ac:dyDescent="0.35">
      <c r="A4" s="1" t="s">
        <v>31</v>
      </c>
      <c r="B4" s="1">
        <v>7.0594232243202404</v>
      </c>
      <c r="C4" s="1">
        <v>0.116641895814922</v>
      </c>
      <c r="G4" t="s">
        <v>48</v>
      </c>
      <c r="H4">
        <f>_xlfn.STDEV.S(B2:B33)</f>
        <v>4.9802674752643009E-2</v>
      </c>
      <c r="I4">
        <f>_xlfn.STDEV.S(C2:C33)</f>
        <v>8.1387659506700614E-4</v>
      </c>
    </row>
    <row r="5" spans="1:9" ht="43.5" x14ac:dyDescent="0.35">
      <c r="A5" s="1" t="s">
        <v>33</v>
      </c>
      <c r="B5" s="1">
        <v>7.0595369414161802</v>
      </c>
      <c r="C5" s="1">
        <v>0.117986722306339</v>
      </c>
      <c r="G5" t="s">
        <v>49</v>
      </c>
      <c r="H5">
        <f>H4/H3/SQRT(COUNT(B2:B33))</f>
        <v>1.2350376866812518E-3</v>
      </c>
      <c r="I5">
        <f>I4/I3/SQRT(COUNT(C2:C33))</f>
        <v>1.2233215192461494E-3</v>
      </c>
    </row>
    <row r="6" spans="1:9" ht="43.5" x14ac:dyDescent="0.35">
      <c r="A6" s="1" t="s">
        <v>34</v>
      </c>
      <c r="B6" s="1">
        <v>7.1355028757261403</v>
      </c>
      <c r="C6" s="1">
        <v>0.116363944216263</v>
      </c>
    </row>
    <row r="7" spans="1:9" ht="43.5" x14ac:dyDescent="0.35">
      <c r="A7" s="1" t="s">
        <v>35</v>
      </c>
      <c r="B7" s="1">
        <v>7.1742988315936698</v>
      </c>
      <c r="C7" s="1">
        <v>0.117960737624138</v>
      </c>
    </row>
    <row r="8" spans="1:9" ht="43.5" x14ac:dyDescent="0.35">
      <c r="A8" s="1" t="s">
        <v>36</v>
      </c>
      <c r="B8" s="1">
        <v>7.2143004246012596</v>
      </c>
      <c r="C8" s="1">
        <v>0.11777189549636199</v>
      </c>
    </row>
    <row r="9" spans="1:9" ht="43.5" x14ac:dyDescent="0.35">
      <c r="A9" s="1" t="s">
        <v>37</v>
      </c>
      <c r="B9" s="1">
        <v>7.1896716464449897</v>
      </c>
      <c r="C9" s="1">
        <v>0.118362346500101</v>
      </c>
    </row>
    <row r="10" spans="1:9" ht="43.5" x14ac:dyDescent="0.35">
      <c r="A10" s="1" t="s">
        <v>39</v>
      </c>
      <c r="B10" s="1">
        <v>7.0740088746791701</v>
      </c>
      <c r="C10" s="1">
        <v>0.11875028071223</v>
      </c>
    </row>
    <row r="11" spans="1:9" ht="43.5" x14ac:dyDescent="0.35">
      <c r="A11" s="1" t="s">
        <v>40</v>
      </c>
      <c r="B11" s="1">
        <v>7.1243444840245997</v>
      </c>
      <c r="C11" s="1">
        <v>0.118209453954305</v>
      </c>
    </row>
    <row r="12" spans="1:9" ht="43.5" x14ac:dyDescent="0.35">
      <c r="A12" s="1" t="s">
        <v>42</v>
      </c>
      <c r="B12" s="1">
        <v>7.0585349758452001</v>
      </c>
      <c r="C12" s="1">
        <v>0.116577694816434</v>
      </c>
    </row>
    <row r="13" spans="1:9" ht="43.5" x14ac:dyDescent="0.35">
      <c r="A13" s="1" t="s">
        <v>43</v>
      </c>
      <c r="B13" s="1">
        <v>7.0753396553470003</v>
      </c>
      <c r="C13" s="1">
        <v>0.117670638852321</v>
      </c>
    </row>
    <row r="14" spans="1:9" ht="43.5" x14ac:dyDescent="0.35">
      <c r="A14" s="1" t="s">
        <v>44</v>
      </c>
      <c r="B14" s="1">
        <v>7.0929763944296802</v>
      </c>
      <c r="C14" s="1">
        <v>0.118098845799444</v>
      </c>
    </row>
    <row r="15" spans="1:9" ht="43.5" x14ac:dyDescent="0.35">
      <c r="A15" s="1" t="s">
        <v>24</v>
      </c>
      <c r="B15" s="1">
        <v>7.1058506533772503</v>
      </c>
      <c r="C15" s="1">
        <v>0.11655919684067299</v>
      </c>
    </row>
    <row r="16" spans="1:9" ht="43.5" x14ac:dyDescent="0.35">
      <c r="A16" s="1" t="s">
        <v>25</v>
      </c>
      <c r="B16" s="1">
        <v>7.1002899790140797</v>
      </c>
      <c r="C16" s="1">
        <v>0.118487075826876</v>
      </c>
    </row>
    <row r="17" spans="1:3" ht="43.5" x14ac:dyDescent="0.35">
      <c r="A17" s="1" t="s">
        <v>26</v>
      </c>
      <c r="B17" s="1">
        <v>7.0521776395148397</v>
      </c>
      <c r="C17" s="1">
        <v>0.117049111989703</v>
      </c>
    </row>
    <row r="18" spans="1:3" ht="43.5" x14ac:dyDescent="0.35">
      <c r="A18" s="1" t="s">
        <v>28</v>
      </c>
      <c r="B18" s="1">
        <v>7.1167399746803</v>
      </c>
      <c r="C18" s="1">
        <v>0.116964493443121</v>
      </c>
    </row>
    <row r="19" spans="1:3" ht="43.5" x14ac:dyDescent="0.35">
      <c r="A19" s="1" t="s">
        <v>8</v>
      </c>
      <c r="B19" s="1">
        <v>7.1150966196750796</v>
      </c>
      <c r="C19" s="1">
        <v>0.1174932059815</v>
      </c>
    </row>
    <row r="20" spans="1:3" ht="43.5" x14ac:dyDescent="0.35">
      <c r="A20" s="1" t="s">
        <v>10</v>
      </c>
      <c r="B20" s="1">
        <v>7.1580456374110897</v>
      </c>
      <c r="C20" s="1">
        <v>0.118724780988732</v>
      </c>
    </row>
    <row r="21" spans="1:3" ht="43.5" x14ac:dyDescent="0.35">
      <c r="A21" s="1" t="s">
        <v>11</v>
      </c>
      <c r="B21" s="1">
        <v>7.2190634878376496</v>
      </c>
      <c r="C21" s="1">
        <v>0.11857414162119</v>
      </c>
    </row>
    <row r="22" spans="1:3" ht="43.5" x14ac:dyDescent="0.35">
      <c r="A22" s="1" t="s">
        <v>12</v>
      </c>
      <c r="B22" s="1">
        <v>7.2062880356903998</v>
      </c>
      <c r="C22" s="1">
        <v>0.116857985488521</v>
      </c>
    </row>
    <row r="23" spans="1:3" ht="43.5" x14ac:dyDescent="0.35">
      <c r="A23" s="1" t="s">
        <v>13</v>
      </c>
      <c r="B23" s="1">
        <v>7.1744031277414697</v>
      </c>
      <c r="C23" s="1">
        <v>0.117839930521939</v>
      </c>
    </row>
    <row r="24" spans="1:3" ht="43.5" x14ac:dyDescent="0.35">
      <c r="A24" s="1" t="s">
        <v>14</v>
      </c>
      <c r="B24" s="1">
        <v>7.1782561712895996</v>
      </c>
      <c r="C24" s="1">
        <v>0.116123290748398</v>
      </c>
    </row>
    <row r="25" spans="1:3" ht="43.5" x14ac:dyDescent="0.35">
      <c r="A25" s="1" t="s">
        <v>15</v>
      </c>
      <c r="B25" s="1">
        <v>7.1789296294298</v>
      </c>
      <c r="C25" s="1">
        <v>0.116339626646247</v>
      </c>
    </row>
    <row r="26" spans="1:3" ht="43.5" x14ac:dyDescent="0.35">
      <c r="A26" s="1" t="s">
        <v>16</v>
      </c>
      <c r="B26" s="1">
        <v>7.1380410516405304</v>
      </c>
      <c r="C26" s="1">
        <v>0.118521454357363</v>
      </c>
    </row>
    <row r="27" spans="1:3" ht="43.5" x14ac:dyDescent="0.35">
      <c r="A27" s="1" t="s">
        <v>17</v>
      </c>
      <c r="B27" s="1">
        <v>7.1009576964689503</v>
      </c>
      <c r="C27" s="1">
        <v>0.117743388207075</v>
      </c>
    </row>
    <row r="28" spans="1:3" ht="43.5" x14ac:dyDescent="0.35">
      <c r="A28" s="1" t="s">
        <v>18</v>
      </c>
      <c r="B28" s="1">
        <v>7.1095475512566804</v>
      </c>
      <c r="C28" s="1">
        <v>0.116823099810358</v>
      </c>
    </row>
    <row r="29" spans="1:3" ht="43.5" x14ac:dyDescent="0.35">
      <c r="A29" s="1" t="s">
        <v>19</v>
      </c>
      <c r="B29" s="1">
        <v>7.1520505928297498</v>
      </c>
      <c r="C29" s="1">
        <v>0.118509294607666</v>
      </c>
    </row>
    <row r="30" spans="1:3" ht="43.5" x14ac:dyDescent="0.35">
      <c r="A30" s="1" t="s">
        <v>20</v>
      </c>
      <c r="B30" s="1">
        <v>7.1324554911158904</v>
      </c>
      <c r="C30" s="1">
        <v>0.118631007440724</v>
      </c>
    </row>
    <row r="31" spans="1:3" ht="43.5" x14ac:dyDescent="0.35">
      <c r="A31" s="1" t="s">
        <v>21</v>
      </c>
      <c r="B31" s="1">
        <v>7.1772995060305798</v>
      </c>
      <c r="C31" s="1">
        <v>0.117484320873481</v>
      </c>
    </row>
    <row r="32" spans="1:3" ht="43.5" x14ac:dyDescent="0.35">
      <c r="A32" s="1" t="s">
        <v>22</v>
      </c>
      <c r="B32" s="1">
        <v>7.13962874760949</v>
      </c>
      <c r="C32" s="1">
        <v>0.118251546607688</v>
      </c>
    </row>
    <row r="33" spans="1:3" ht="43.5" x14ac:dyDescent="0.35">
      <c r="A33" s="1" t="s">
        <v>23</v>
      </c>
      <c r="B33" s="1">
        <v>7.1606128880127899</v>
      </c>
      <c r="C33" s="1">
        <v>0.118181098472526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2026-06-27T04:03:33Z</dcterms:modified>
</cp:coreProperties>
</file>