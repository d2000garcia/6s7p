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Diego\git\6s7p\BeatnotePostHotCellF1=4\Jul06,2026\"/>
    </mc:Choice>
  </mc:AlternateContent>
  <xr:revisionPtr revIDLastSave="0" documentId="13_ncr:1_{AD2EB901-F10F-471F-988A-5FE3866E734A}" xr6:coauthVersionLast="47" xr6:coauthVersionMax="47" xr10:uidLastSave="{00000000-0000-0000-0000-000000000000}"/>
  <bookViews>
    <workbookView xWindow="-120" yWindow="-120" windowWidth="29040" windowHeight="15720" activeTab="2" xr2:uid="{D9E101C5-8284-4B59-8B1C-2AD2D5F2FDD3}"/>
  </bookViews>
  <sheets>
    <sheet name="894" sheetId="2" r:id="rId1"/>
    <sheet name="456" sheetId="1" r:id="rId2"/>
    <sheet name="AbsCoef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3" i="3" l="1"/>
  <c r="H4" i="3"/>
  <c r="H5" i="3" s="1"/>
  <c r="G3" i="3"/>
  <c r="G4" i="3"/>
  <c r="G5" i="3" l="1"/>
</calcChain>
</file>

<file path=xl/sharedStrings.xml><?xml version="1.0" encoding="utf-8"?>
<sst xmlns="http://schemas.openxmlformats.org/spreadsheetml/2006/main" count="115" uniqueCount="42">
  <si>
    <t>Date</t>
  </si>
  <si>
    <t>Mean</t>
  </si>
  <si>
    <t>STD</t>
  </si>
  <si>
    <t>Mean/std/sqrt(n)</t>
  </si>
  <si>
    <t>Alpha</t>
  </si>
  <si>
    <t>P0</t>
  </si>
  <si>
    <t>h1</t>
  </si>
  <si>
    <t>mv</t>
  </si>
  <si>
    <t>T</t>
  </si>
  <si>
    <t>gamma</t>
  </si>
  <si>
    <t>offset</t>
  </si>
  <si>
    <t>Jul06,2026+1-29-35PM</t>
  </si>
  <si>
    <t>Jul06,2026+1-39-06PM</t>
  </si>
  <si>
    <t>Jul06,2026+1-47-03PM</t>
  </si>
  <si>
    <t>Jul06,2026+1-55-02PM</t>
  </si>
  <si>
    <t>Jul06,2026+2-03-11PM</t>
  </si>
  <si>
    <t>Jul06,2026+2-11-08PM</t>
  </si>
  <si>
    <t>Jul06,2026+2-19-07PM</t>
  </si>
  <si>
    <t>Jul06,2026+2-27-28PM</t>
  </si>
  <si>
    <t>Jul06,2026+2-35-31PM</t>
  </si>
  <si>
    <t>Jul06,2026+2-43-35PM</t>
  </si>
  <si>
    <t>Jul06,2026+2-52-04PM</t>
  </si>
  <si>
    <t>Jul06,2026+3-00-09PM</t>
  </si>
  <si>
    <t>Jul06,2026+3-08-06PM</t>
  </si>
  <si>
    <t>Jul06,2026+3-16-13PM</t>
  </si>
  <si>
    <t>Jul06,2026+3-24-12PM</t>
  </si>
  <si>
    <t>Jul06,2026+3-32-14PM</t>
  </si>
  <si>
    <t>Jul06,2026+3-40-12PM</t>
  </si>
  <si>
    <t>Jul06,2026+3-49-10PM</t>
  </si>
  <si>
    <t>Jul06,2026+3-57-16PM</t>
  </si>
  <si>
    <t>Jul06,2026+4-06-07PM</t>
  </si>
  <si>
    <t>Jul06,2026+4-14-01PM</t>
  </si>
  <si>
    <t>Jul06,2026+4-21-57PM</t>
  </si>
  <si>
    <t>Jul06,2026+4-29-54PM</t>
  </si>
  <si>
    <t>Jul06,2026+4-37-56PM</t>
  </si>
  <si>
    <t>Jul06,2026+4-47-16PM</t>
  </si>
  <si>
    <t>Jul06,2026+4-56-24PM</t>
  </si>
  <si>
    <t>Jul06,2026+5-05-27PM</t>
  </si>
  <si>
    <t>Jul06,2026+5-13-36PM</t>
  </si>
  <si>
    <t>Jul06,2026+5-21-38PM</t>
  </si>
  <si>
    <t>Jul06,2026+5-31-27PM</t>
  </si>
  <si>
    <t>Jul06,2026+5-39-26PM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</si>
</sst>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11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5617D-2BBC-4C21-ADC4-3687FEC8C6E3}">
  <dimension ref="A1:V33"/>
  <sheetViews>
    <sheetView workbookViewId="0">
      <selection sqref="A1:B1048576"/>
    </sheetView>
  </sheetViews>
  <sheetFormatPr defaultRowHeight="14.25"/>
  <sheetData>
    <row r="1" spans="1:22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K1" s="1"/>
      <c r="L1" s="1"/>
      <c r="M1" s="1"/>
      <c r="N1" s="1"/>
      <c r="O1" s="1"/>
      <c r="P1" s="1"/>
      <c r="Q1" s="1"/>
      <c r="R1" s="1"/>
      <c r="S1" s="1"/>
    </row>
    <row r="2" spans="1:22" ht="42.75">
      <c r="A2" s="1" t="s">
        <v>11</v>
      </c>
      <c r="B2" s="1">
        <v>17.825013007136501</v>
      </c>
      <c r="C2" s="1">
        <v>1.3644576352367299</v>
      </c>
      <c r="D2" s="1">
        <v>-4.4406748354942601E-3</v>
      </c>
      <c r="E2" s="1">
        <v>2.2966455277508002</v>
      </c>
      <c r="F2" s="1">
        <v>41.362276979549499</v>
      </c>
      <c r="G2" s="1">
        <v>3.2946406574042401E-3</v>
      </c>
      <c r="H2" s="1"/>
      <c r="L2" s="1"/>
      <c r="M2" s="1"/>
      <c r="N2" s="1"/>
      <c r="O2" s="1"/>
      <c r="P2" s="1"/>
      <c r="Q2" s="1"/>
      <c r="R2" s="1"/>
      <c r="S2" s="1"/>
      <c r="T2" s="1"/>
    </row>
    <row r="3" spans="1:22" ht="42.75">
      <c r="A3" s="1" t="s">
        <v>12</v>
      </c>
      <c r="B3" s="1">
        <v>17.9319730766783</v>
      </c>
      <c r="C3" s="1">
        <v>1.3554783600328699</v>
      </c>
      <c r="D3" s="1">
        <v>-3.3903009526998701E-3</v>
      </c>
      <c r="E3" s="1">
        <v>2.2975154480947899</v>
      </c>
      <c r="F3" s="1">
        <v>40.258391100748099</v>
      </c>
      <c r="G3" s="1">
        <v>2.2873004957662401E-3</v>
      </c>
      <c r="H3" s="1"/>
      <c r="T3" s="1"/>
      <c r="U3" s="1"/>
      <c r="V3" s="1"/>
    </row>
    <row r="4" spans="1:22" ht="42.75">
      <c r="A4" s="1" t="s">
        <v>13</v>
      </c>
      <c r="B4" s="1">
        <v>18.039044650769</v>
      </c>
      <c r="C4" s="1">
        <v>1.3618422536585799</v>
      </c>
      <c r="D4" s="1">
        <v>-5.1712659865112299E-3</v>
      </c>
      <c r="E4" s="1">
        <v>2.2970750657326402</v>
      </c>
      <c r="F4" s="1">
        <v>40.262617142580403</v>
      </c>
      <c r="G4" s="1">
        <v>2.28730049975651E-3</v>
      </c>
      <c r="H4" s="1"/>
      <c r="T4" s="1"/>
    </row>
    <row r="5" spans="1:22" ht="42.75">
      <c r="A5" s="1" t="s">
        <v>14</v>
      </c>
      <c r="B5" s="1">
        <v>18.0604756933053</v>
      </c>
      <c r="C5" s="1">
        <v>1.36249094453331</v>
      </c>
      <c r="D5" s="1">
        <v>-4.12630807478284E-3</v>
      </c>
      <c r="E5" s="1">
        <v>2.2965341195117399</v>
      </c>
      <c r="F5" s="1">
        <v>40.269899880000096</v>
      </c>
      <c r="G5" s="1">
        <v>2.28730049570158E-3</v>
      </c>
      <c r="H5" s="1"/>
      <c r="T5" s="1"/>
    </row>
    <row r="6" spans="1:22" ht="42.75">
      <c r="A6" s="1" t="s">
        <v>15</v>
      </c>
      <c r="B6" s="1">
        <v>17.9979172106978</v>
      </c>
      <c r="C6" s="1">
        <v>1.3629871704897101</v>
      </c>
      <c r="D6" s="1">
        <v>-4.1793048129375602E-3</v>
      </c>
      <c r="E6" s="1">
        <v>2.29531155824982</v>
      </c>
      <c r="F6" s="1">
        <v>40.282828820037899</v>
      </c>
      <c r="G6" s="1">
        <v>2.2873004957014199E-3</v>
      </c>
      <c r="H6" s="1"/>
      <c r="T6" s="1"/>
    </row>
    <row r="7" spans="1:22" ht="42.75">
      <c r="A7" s="1" t="s">
        <v>16</v>
      </c>
      <c r="B7" s="1">
        <v>17.998827423434999</v>
      </c>
      <c r="C7" s="1">
        <v>1.36135081695434</v>
      </c>
      <c r="D7" s="1">
        <v>-4.1632975279728996E-3</v>
      </c>
      <c r="E7" s="1">
        <v>2.2945735339344</v>
      </c>
      <c r="F7" s="1">
        <v>40.278935730022702</v>
      </c>
      <c r="G7" s="1">
        <v>2.28730049570243E-3</v>
      </c>
      <c r="H7" s="1"/>
      <c r="T7" s="1"/>
    </row>
    <row r="8" spans="1:22" ht="42.75">
      <c r="A8" s="1" t="s">
        <v>17</v>
      </c>
      <c r="B8" s="1">
        <v>18.041509768701101</v>
      </c>
      <c r="C8" s="1">
        <v>1.36092024508524</v>
      </c>
      <c r="D8" s="1">
        <v>-4.20405431793243E-3</v>
      </c>
      <c r="E8" s="1">
        <v>2.29422926916968</v>
      </c>
      <c r="F8" s="1">
        <v>40.277357530620002</v>
      </c>
      <c r="G8" s="1">
        <v>2.2873004957018098E-3</v>
      </c>
      <c r="H8" s="1"/>
      <c r="T8" s="1"/>
    </row>
    <row r="9" spans="1:22" ht="42.75">
      <c r="A9" s="1" t="s">
        <v>18</v>
      </c>
      <c r="B9" s="1">
        <v>18.113057907959</v>
      </c>
      <c r="C9" s="1">
        <v>1.36008941019865</v>
      </c>
      <c r="D9" s="1">
        <v>-3.8502220001540299E-3</v>
      </c>
      <c r="E9" s="1">
        <v>2.2930349389633902</v>
      </c>
      <c r="F9" s="1">
        <v>40.289301750004299</v>
      </c>
      <c r="G9" s="1">
        <v>2.2873004957044002E-3</v>
      </c>
      <c r="H9" s="1"/>
      <c r="T9" s="1"/>
    </row>
    <row r="10" spans="1:22" ht="42.75">
      <c r="A10" s="1" t="s">
        <v>19</v>
      </c>
      <c r="B10" s="1">
        <v>18.000340035364701</v>
      </c>
      <c r="C10" s="1">
        <v>1.3647866865545299</v>
      </c>
      <c r="D10" s="1">
        <v>-4.2673590109700704E-3</v>
      </c>
      <c r="E10" s="1">
        <v>2.2935240421123999</v>
      </c>
      <c r="F10" s="1">
        <v>42.2822129299905</v>
      </c>
      <c r="G10" s="1">
        <v>2.3879220944849101E-3</v>
      </c>
      <c r="H10" s="1"/>
      <c r="T10" s="1"/>
    </row>
    <row r="11" spans="1:22" ht="42.75">
      <c r="A11" s="1" t="s">
        <v>20</v>
      </c>
      <c r="B11" s="1">
        <v>18.056008326627001</v>
      </c>
      <c r="C11" s="1">
        <v>1.3637980400719101</v>
      </c>
      <c r="D11" s="1">
        <v>-4.0719389882457498E-3</v>
      </c>
      <c r="E11" s="1">
        <v>2.2929267920935898</v>
      </c>
      <c r="F11" s="1">
        <v>42.3005651099595</v>
      </c>
      <c r="G11" s="1">
        <v>2.5926197138696301E-3</v>
      </c>
      <c r="H11" s="1"/>
      <c r="T11" s="1"/>
    </row>
    <row r="12" spans="1:22" ht="42.75">
      <c r="A12" s="1" t="s">
        <v>21</v>
      </c>
      <c r="B12" s="1">
        <v>18.143480906181601</v>
      </c>
      <c r="C12" s="1">
        <v>1.3650256864747501</v>
      </c>
      <c r="D12" s="1">
        <v>-3.8194759441872901E-3</v>
      </c>
      <c r="E12" s="1">
        <v>2.2932705962823401</v>
      </c>
      <c r="F12" s="1">
        <v>42.318058999470701</v>
      </c>
      <c r="G12" s="1">
        <v>2.91648942333393E-3</v>
      </c>
      <c r="H12" s="1"/>
      <c r="T12" s="1"/>
    </row>
    <row r="13" spans="1:22" ht="42.75">
      <c r="A13" s="1" t="s">
        <v>22</v>
      </c>
      <c r="B13" s="1">
        <v>18.0505063076521</v>
      </c>
      <c r="C13" s="1">
        <v>1.36694561596362</v>
      </c>
      <c r="D13" s="1">
        <v>-3.97329541006455E-3</v>
      </c>
      <c r="E13" s="1">
        <v>2.2947523521408999</v>
      </c>
      <c r="F13" s="1">
        <v>42.312346269967499</v>
      </c>
      <c r="G13" s="1">
        <v>3.0622656253846601E-3</v>
      </c>
      <c r="H13" s="1"/>
      <c r="T13" s="1"/>
    </row>
    <row r="14" spans="1:22" ht="42.75">
      <c r="A14" s="1" t="s">
        <v>23</v>
      </c>
      <c r="B14" s="1">
        <v>17.975837914720699</v>
      </c>
      <c r="C14" s="1">
        <v>1.36714460352598</v>
      </c>
      <c r="D14" s="1">
        <v>-3.8647085657024199E-3</v>
      </c>
      <c r="E14" s="1">
        <v>2.2946402588071799</v>
      </c>
      <c r="F14" s="1">
        <v>42.326168079838801</v>
      </c>
      <c r="G14" s="1">
        <v>2.9562710792374702E-3</v>
      </c>
      <c r="H14" s="1"/>
      <c r="T14" s="1"/>
    </row>
    <row r="15" spans="1:22" ht="42.75">
      <c r="A15" s="1" t="s">
        <v>24</v>
      </c>
      <c r="B15" s="1">
        <v>17.958408612980101</v>
      </c>
      <c r="C15" s="1">
        <v>1.3684815561349</v>
      </c>
      <c r="D15" s="1">
        <v>-3.8228483243612599E-3</v>
      </c>
      <c r="E15" s="1">
        <v>2.2962491237206399</v>
      </c>
      <c r="F15" s="1">
        <v>42.328081569976902</v>
      </c>
      <c r="G15" s="1">
        <v>3.0351316940362802E-3</v>
      </c>
      <c r="H15" s="1"/>
      <c r="T15" s="1"/>
    </row>
    <row r="16" spans="1:22" ht="42.75">
      <c r="A16" s="1" t="s">
        <v>25</v>
      </c>
      <c r="B16" s="1">
        <v>18.089794941394199</v>
      </c>
      <c r="C16" s="1">
        <v>1.3669218234135101</v>
      </c>
      <c r="D16" s="1">
        <v>-3.96924553722308E-3</v>
      </c>
      <c r="E16" s="1">
        <v>2.29540784371641</v>
      </c>
      <c r="F16" s="1">
        <v>42.310299959999099</v>
      </c>
      <c r="G16" s="1">
        <v>3.0036121681927298E-3</v>
      </c>
      <c r="H16" s="1"/>
      <c r="T16" s="1"/>
    </row>
    <row r="17" spans="1:20" ht="42.75">
      <c r="A17" s="1" t="s">
        <v>26</v>
      </c>
      <c r="B17" s="1">
        <v>18.011107051113001</v>
      </c>
      <c r="C17" s="1">
        <v>1.3600027072624199</v>
      </c>
      <c r="D17" s="1">
        <v>-3.0040243001837898E-3</v>
      </c>
      <c r="E17" s="1">
        <v>2.2956959248239199</v>
      </c>
      <c r="F17" s="1">
        <v>42.332683143205998</v>
      </c>
      <c r="G17" s="1">
        <v>2.76713125323968E-3</v>
      </c>
      <c r="H17" s="1"/>
      <c r="T17" s="1"/>
    </row>
    <row r="18" spans="1:20" ht="42.75">
      <c r="A18" s="1" t="s">
        <v>27</v>
      </c>
      <c r="B18" s="1">
        <v>18.059805482066999</v>
      </c>
      <c r="C18" s="1">
        <v>1.3649125095275201</v>
      </c>
      <c r="D18" s="1">
        <v>-4.0000523777678704E-3</v>
      </c>
      <c r="E18" s="1">
        <v>2.2959609726325998</v>
      </c>
      <c r="F18" s="1">
        <v>42.313925908811399</v>
      </c>
      <c r="G18" s="1">
        <v>2.67280892204306E-3</v>
      </c>
      <c r="H18" s="1"/>
      <c r="T18" s="1"/>
    </row>
    <row r="19" spans="1:20" ht="42.75">
      <c r="A19" s="1" t="s">
        <v>28</v>
      </c>
      <c r="B19" s="1">
        <v>17.9483749982906</v>
      </c>
      <c r="C19" s="1">
        <v>1.36655108434051</v>
      </c>
      <c r="D19" s="1">
        <v>-3.8061495216616401E-3</v>
      </c>
      <c r="E19" s="1">
        <v>2.2948534620893399</v>
      </c>
      <c r="F19" s="1">
        <v>42.3235890897096</v>
      </c>
      <c r="G19" s="1">
        <v>3.40823892640522E-3</v>
      </c>
      <c r="H19" s="1"/>
    </row>
    <row r="20" spans="1:20" ht="42.75">
      <c r="A20" s="1" t="s">
        <v>29</v>
      </c>
      <c r="B20" s="1">
        <v>17.986594818813899</v>
      </c>
      <c r="C20" s="1">
        <v>1.36764659794293</v>
      </c>
      <c r="D20" s="1">
        <v>-4.1087770545706901E-3</v>
      </c>
      <c r="E20" s="1">
        <v>2.29416710718592</v>
      </c>
      <c r="F20" s="1">
        <v>41.493759067625497</v>
      </c>
      <c r="G20" s="1">
        <v>3.31177721075788E-3</v>
      </c>
      <c r="H20" s="1"/>
    </row>
    <row r="21" spans="1:20" ht="42.75">
      <c r="A21" s="1" t="s">
        <v>30</v>
      </c>
      <c r="B21" s="1">
        <v>18.0136321630971</v>
      </c>
      <c r="C21" s="1">
        <v>1.36647368756815</v>
      </c>
      <c r="D21" s="1">
        <v>-3.6918526278747598E-3</v>
      </c>
      <c r="E21" s="1">
        <v>2.29545945541201</v>
      </c>
      <c r="F21" s="1">
        <v>42.337953689662903</v>
      </c>
      <c r="G21" s="1">
        <v>2.9547201633599199E-3</v>
      </c>
      <c r="H21" s="1"/>
    </row>
    <row r="22" spans="1:20" ht="42.75">
      <c r="A22" s="1" t="s">
        <v>31</v>
      </c>
      <c r="B22" s="1">
        <v>18.175378572568899</v>
      </c>
      <c r="C22" s="1">
        <v>1.3689138742462399</v>
      </c>
      <c r="D22" s="1">
        <v>-3.9041916834188402E-3</v>
      </c>
      <c r="E22" s="1">
        <v>2.2947126730868699</v>
      </c>
      <c r="F22" s="1">
        <v>42.327110339699303</v>
      </c>
      <c r="G22" s="1">
        <v>2.81438589717828E-3</v>
      </c>
      <c r="H22" s="1"/>
    </row>
    <row r="23" spans="1:20" ht="42.75">
      <c r="A23" s="1" t="s">
        <v>32</v>
      </c>
      <c r="B23" s="1">
        <v>18.118575471661899</v>
      </c>
      <c r="C23" s="1">
        <v>1.3701517681686799</v>
      </c>
      <c r="D23" s="1">
        <v>-3.9265735089579496E-3</v>
      </c>
      <c r="E23" s="1">
        <v>2.29423315147235</v>
      </c>
      <c r="F23" s="1">
        <v>42.327570999902797</v>
      </c>
      <c r="G23" s="1">
        <v>3.0608204760291802E-3</v>
      </c>
      <c r="H23" s="1"/>
    </row>
    <row r="24" spans="1:20" ht="42.75">
      <c r="A24" s="1" t="s">
        <v>33</v>
      </c>
      <c r="B24" s="1">
        <v>17.929983986435602</v>
      </c>
      <c r="C24" s="1">
        <v>1.36952096080955</v>
      </c>
      <c r="D24" s="1">
        <v>-4.0212890876301002E-3</v>
      </c>
      <c r="E24" s="1">
        <v>2.2934581502498399</v>
      </c>
      <c r="F24" s="1">
        <v>42.346968719900502</v>
      </c>
      <c r="G24" s="1">
        <v>2.6926258343304499E-3</v>
      </c>
      <c r="H24" s="1"/>
    </row>
    <row r="25" spans="1:20" ht="42.75">
      <c r="A25" s="1" t="s">
        <v>34</v>
      </c>
      <c r="B25" s="1">
        <v>18.106604307150199</v>
      </c>
      <c r="C25" s="1">
        <v>1.3686269442001</v>
      </c>
      <c r="D25" s="1">
        <v>-3.1498400751442902E-3</v>
      </c>
      <c r="E25" s="1">
        <v>2.2932185510875001</v>
      </c>
      <c r="F25" s="1">
        <v>42.306376425886597</v>
      </c>
      <c r="G25" s="1">
        <v>2.5876132055540099E-3</v>
      </c>
      <c r="H25" s="1"/>
    </row>
    <row r="26" spans="1:20" ht="42.75">
      <c r="A26" s="1" t="s">
        <v>35</v>
      </c>
      <c r="B26" s="1">
        <v>17.996855885347902</v>
      </c>
      <c r="C26" s="1">
        <v>1.3711916864575899</v>
      </c>
      <c r="D26" s="1">
        <v>-4.0493268343136301E-3</v>
      </c>
      <c r="E26" s="1">
        <v>2.2929619344018</v>
      </c>
      <c r="F26" s="1">
        <v>42.289346397594898</v>
      </c>
      <c r="G26" s="1">
        <v>2.28730049662282E-3</v>
      </c>
      <c r="H26" s="1"/>
    </row>
    <row r="27" spans="1:20" ht="42.75">
      <c r="A27" s="1" t="s">
        <v>36</v>
      </c>
      <c r="B27" s="1">
        <v>18.121396667491499</v>
      </c>
      <c r="C27" s="1">
        <v>1.36702095536124</v>
      </c>
      <c r="D27" s="1">
        <v>-4.0910316871901496E-3</v>
      </c>
      <c r="E27" s="1">
        <v>2.2929797532455298</v>
      </c>
      <c r="F27" s="1">
        <v>41.348484394280902</v>
      </c>
      <c r="G27" s="1">
        <v>2.2944828101959598E-3</v>
      </c>
      <c r="H27" s="1"/>
    </row>
    <row r="28" spans="1:20" ht="42.75">
      <c r="A28" s="1" t="s">
        <v>37</v>
      </c>
      <c r="B28" s="1">
        <v>18.094216738234799</v>
      </c>
      <c r="C28" s="1">
        <v>1.3681475948186399</v>
      </c>
      <c r="D28" s="1">
        <v>-4.1651340887661897E-3</v>
      </c>
      <c r="E28" s="1">
        <v>2.29401365989085</v>
      </c>
      <c r="F28" s="1">
        <v>40.326332630000998</v>
      </c>
      <c r="G28" s="1">
        <v>2.2873004957014499E-3</v>
      </c>
      <c r="H28" s="1"/>
    </row>
    <row r="29" spans="1:20" ht="42.75">
      <c r="A29" s="1" t="s">
        <v>38</v>
      </c>
      <c r="B29" s="1">
        <v>18.1174045096291</v>
      </c>
      <c r="C29" s="1">
        <v>1.36894010181871</v>
      </c>
      <c r="D29" s="1">
        <v>-3.89044040809408E-3</v>
      </c>
      <c r="E29" s="1">
        <v>2.2944942536345798</v>
      </c>
      <c r="F29" s="1">
        <v>40.322585636575198</v>
      </c>
      <c r="G29" s="1">
        <v>2.28730049604658E-3</v>
      </c>
      <c r="H29" s="1"/>
    </row>
    <row r="30" spans="1:20" ht="42.75">
      <c r="A30" s="1" t="s">
        <v>39</v>
      </c>
      <c r="B30" s="1">
        <v>17.975345051957699</v>
      </c>
      <c r="C30" s="1">
        <v>1.3698359944838301</v>
      </c>
      <c r="D30" s="1">
        <v>-4.0297898178861197E-3</v>
      </c>
      <c r="E30" s="1">
        <v>2.29563621582348</v>
      </c>
      <c r="F30" s="1">
        <v>40.294133450000103</v>
      </c>
      <c r="G30" s="1">
        <v>2.2873004957016901E-3</v>
      </c>
      <c r="H30" s="1"/>
    </row>
    <row r="31" spans="1:20" ht="42.75">
      <c r="A31" s="1" t="s">
        <v>40</v>
      </c>
      <c r="B31" s="1">
        <v>18.0641154539816</v>
      </c>
      <c r="C31" s="1">
        <v>1.3706052890518601</v>
      </c>
      <c r="D31" s="1">
        <v>-4.0955895268675498E-3</v>
      </c>
      <c r="E31" s="1">
        <v>2.2957557377999098</v>
      </c>
      <c r="F31" s="1">
        <v>40.305077600010897</v>
      </c>
      <c r="G31" s="1">
        <v>2.2873004957014E-3</v>
      </c>
      <c r="H31" s="1"/>
    </row>
    <row r="32" spans="1:20" ht="42.75">
      <c r="A32" s="1" t="s">
        <v>41</v>
      </c>
      <c r="B32" s="1">
        <v>18.268545430641002</v>
      </c>
      <c r="C32" s="1">
        <v>1.3590214209923701</v>
      </c>
      <c r="D32" s="1">
        <v>-2.75607565175652E-3</v>
      </c>
      <c r="E32" s="1">
        <v>2.2970122514957501</v>
      </c>
      <c r="F32" s="1">
        <v>40.285698400003497</v>
      </c>
      <c r="G32" s="1">
        <v>2.2873004957646901E-3</v>
      </c>
      <c r="H32" s="1"/>
    </row>
    <row r="33" spans="1:7">
      <c r="A33" s="1"/>
      <c r="B33" s="1"/>
      <c r="C33" s="1"/>
      <c r="D33" s="1"/>
      <c r="E33" s="1"/>
      <c r="F33" s="1"/>
      <c r="G3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646E0-737D-49FA-A2CA-7848F848076B}">
  <dimension ref="A1:T34"/>
  <sheetViews>
    <sheetView zoomScale="99" zoomScaleNormal="99" workbookViewId="0">
      <selection sqref="A1:B1048576"/>
    </sheetView>
  </sheetViews>
  <sheetFormatPr defaultRowHeight="14.25"/>
  <cols>
    <col min="4" max="4" width="11.5" bestFit="1" customWidth="1"/>
  </cols>
  <sheetData>
    <row r="1" spans="1:20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/>
      <c r="L1" s="1"/>
      <c r="M1" s="1"/>
      <c r="N1" s="1"/>
      <c r="O1" s="1"/>
      <c r="P1" s="1"/>
      <c r="Q1" s="1"/>
      <c r="R1" s="1"/>
      <c r="S1" s="1"/>
      <c r="T1" s="1"/>
    </row>
    <row r="2" spans="1:20" ht="42.75">
      <c r="A2" s="1" t="s">
        <v>11</v>
      </c>
      <c r="B2" s="1">
        <v>0.29193451692567801</v>
      </c>
      <c r="C2" s="1">
        <v>1.64073014653294</v>
      </c>
      <c r="D2" s="2">
        <v>-9.2095959891557005E-5</v>
      </c>
      <c r="E2" s="2">
        <v>2.23262670568864E-5</v>
      </c>
      <c r="F2" s="1">
        <v>2.64558579866689</v>
      </c>
      <c r="G2" s="1">
        <v>42.224137215681701</v>
      </c>
      <c r="H2" s="1">
        <v>1.0486758627697699E-3</v>
      </c>
      <c r="L2" s="1"/>
      <c r="M2" s="1"/>
      <c r="N2" s="1"/>
      <c r="O2" s="1"/>
      <c r="P2" s="1"/>
      <c r="Q2" s="1"/>
      <c r="R2" s="1"/>
      <c r="S2" s="1"/>
      <c r="T2" s="1"/>
    </row>
    <row r="3" spans="1:20" ht="42.75">
      <c r="A3" s="1" t="s">
        <v>12</v>
      </c>
      <c r="B3" s="1">
        <v>0.28873287738484599</v>
      </c>
      <c r="C3" s="1">
        <v>1.6388748482772999</v>
      </c>
      <c r="D3" s="1">
        <v>5.9664510337977103E-4</v>
      </c>
      <c r="E3" s="1">
        <v>-1.3467429594676299E-4</v>
      </c>
      <c r="F3" s="1">
        <v>2.39821791751138</v>
      </c>
      <c r="G3" s="1">
        <v>40.294200278755497</v>
      </c>
      <c r="H3" s="1">
        <v>8.0503795245833495E-4</v>
      </c>
      <c r="L3" s="1"/>
    </row>
    <row r="4" spans="1:20" ht="42.75">
      <c r="A4" s="1" t="s">
        <v>13</v>
      </c>
      <c r="B4" s="1">
        <v>0.28985427653153101</v>
      </c>
      <c r="C4" s="1">
        <v>1.63860126540438</v>
      </c>
      <c r="D4" s="1">
        <v>7.4717833624955796E-4</v>
      </c>
      <c r="E4" s="1">
        <v>-1.5445391469774201E-4</v>
      </c>
      <c r="F4" s="1">
        <v>2.1547534669714801</v>
      </c>
      <c r="G4" s="1">
        <v>40.2497417852246</v>
      </c>
      <c r="H4" s="1">
        <v>5.7872350756189503E-4</v>
      </c>
    </row>
    <row r="5" spans="1:20" ht="42.75">
      <c r="A5" s="1" t="s">
        <v>14</v>
      </c>
      <c r="B5" s="1">
        <v>0.29473582812057803</v>
      </c>
      <c r="C5" s="1">
        <v>1.6389324685459601</v>
      </c>
      <c r="D5" s="1">
        <v>2.2093507261372901E-4</v>
      </c>
      <c r="E5" s="2">
        <v>-4.0708879364883303E-5</v>
      </c>
      <c r="F5" s="1">
        <v>1.8960890348591</v>
      </c>
      <c r="G5" s="1">
        <v>41.925680179178201</v>
      </c>
      <c r="H5" s="1">
        <v>1.13204283103709E-3</v>
      </c>
    </row>
    <row r="6" spans="1:20" ht="42.75">
      <c r="A6" s="1" t="s">
        <v>15</v>
      </c>
      <c r="B6" s="1">
        <v>0.29630016894823502</v>
      </c>
      <c r="C6" s="1">
        <v>1.63907026386145</v>
      </c>
      <c r="D6" s="1">
        <v>5.0201128685855201E-4</v>
      </c>
      <c r="E6" s="2">
        <v>-9.0657179213079797E-5</v>
      </c>
      <c r="F6" s="1">
        <v>2.14965875767188</v>
      </c>
      <c r="G6" s="1">
        <v>42.192852563108303</v>
      </c>
      <c r="H6" s="1">
        <v>7.3766517251149097E-4</v>
      </c>
    </row>
    <row r="7" spans="1:20" ht="42.75">
      <c r="A7" s="1" t="s">
        <v>16</v>
      </c>
      <c r="B7" s="1">
        <v>0.290375757335809</v>
      </c>
      <c r="C7" s="1">
        <v>1.6384253676667</v>
      </c>
      <c r="D7" s="1">
        <v>3.1822822341561201E-4</v>
      </c>
      <c r="E7" s="2">
        <v>-3.4702820983211102E-5</v>
      </c>
      <c r="F7" s="1">
        <v>2.1509554438122098</v>
      </c>
      <c r="G7" s="1">
        <v>40.297086490005697</v>
      </c>
      <c r="H7" s="1">
        <v>5.7857693493145802E-4</v>
      </c>
    </row>
    <row r="8" spans="1:20" ht="42.75">
      <c r="A8" s="1" t="s">
        <v>17</v>
      </c>
      <c r="B8" s="1">
        <v>0.29184259037329402</v>
      </c>
      <c r="C8" s="1">
        <v>1.6387912276433001</v>
      </c>
      <c r="D8" s="1">
        <v>3.7213106039969901E-4</v>
      </c>
      <c r="E8" s="2">
        <v>-3.75160955205052E-5</v>
      </c>
      <c r="F8" s="1">
        <v>2.14935419122419</v>
      </c>
      <c r="G8" s="1">
        <v>41.275683363618697</v>
      </c>
      <c r="H8" s="1">
        <v>7.5215522522720701E-4</v>
      </c>
    </row>
    <row r="9" spans="1:20" ht="42.75">
      <c r="A9" s="1" t="s">
        <v>18</v>
      </c>
      <c r="B9" s="1">
        <v>0.29495272762742802</v>
      </c>
      <c r="C9" s="1">
        <v>1.6383617488123099</v>
      </c>
      <c r="D9" s="1">
        <v>3.9982186878904501E-4</v>
      </c>
      <c r="E9" s="2">
        <v>-2.6247842873208699E-5</v>
      </c>
      <c r="F9" s="1">
        <v>2.3941964061545198</v>
      </c>
      <c r="G9" s="1">
        <v>42.284784159953098</v>
      </c>
      <c r="H9" s="1">
        <v>1.15715386858769E-3</v>
      </c>
    </row>
    <row r="10" spans="1:20" ht="42.75">
      <c r="A10" s="1" t="s">
        <v>19</v>
      </c>
      <c r="B10" s="1">
        <v>0.29546767207366198</v>
      </c>
      <c r="C10" s="1">
        <v>1.6381518999803599</v>
      </c>
      <c r="D10" s="1">
        <v>1.15553104452869E-3</v>
      </c>
      <c r="E10" s="1">
        <v>-2.0887122804314501E-4</v>
      </c>
      <c r="F10" s="1">
        <v>2.1504859733509099</v>
      </c>
      <c r="G10" s="1">
        <v>41.141973411913199</v>
      </c>
      <c r="H10" s="1">
        <v>7.1907337581087003E-4</v>
      </c>
    </row>
    <row r="11" spans="1:20" ht="42.75">
      <c r="A11" s="1" t="s">
        <v>20</v>
      </c>
      <c r="B11" s="1">
        <v>0.29613521382059799</v>
      </c>
      <c r="C11" s="1">
        <v>1.6387788321563801</v>
      </c>
      <c r="D11" s="2">
        <v>7.7063514417661697E-5</v>
      </c>
      <c r="E11" s="2">
        <v>2.0487620022164899E-5</v>
      </c>
      <c r="F11" s="1">
        <v>1.8976771730349</v>
      </c>
      <c r="G11" s="1">
        <v>42.328138049362899</v>
      </c>
      <c r="H11" s="1">
        <v>1.1571538522801199E-3</v>
      </c>
    </row>
    <row r="12" spans="1:20" ht="42.75">
      <c r="A12" s="1" t="s">
        <v>21</v>
      </c>
      <c r="B12" s="1">
        <v>0.29582825670155199</v>
      </c>
      <c r="C12" s="1">
        <v>1.63775068114282</v>
      </c>
      <c r="D12" s="1">
        <v>8.2068771519946699E-4</v>
      </c>
      <c r="E12" s="2">
        <v>-7.8699626071835095E-5</v>
      </c>
      <c r="F12" s="1">
        <v>2.3963237237482198</v>
      </c>
      <c r="G12" s="1">
        <v>42.311114329810898</v>
      </c>
      <c r="H12" s="1">
        <v>1.1571538686334E-3</v>
      </c>
    </row>
    <row r="13" spans="1:20" ht="42.75">
      <c r="A13" s="1" t="s">
        <v>22</v>
      </c>
      <c r="B13" s="1">
        <v>0.29449530569974303</v>
      </c>
      <c r="C13" s="1">
        <v>1.638682255085</v>
      </c>
      <c r="D13" s="1">
        <v>4.2745105040560999E-4</v>
      </c>
      <c r="E13" s="2">
        <v>-6.9485704773763901E-5</v>
      </c>
      <c r="F13" s="1">
        <v>2.1515492378996499</v>
      </c>
      <c r="G13" s="1">
        <v>42.339704800269601</v>
      </c>
      <c r="H13" s="1">
        <v>1.1405021787792701E-3</v>
      </c>
    </row>
    <row r="14" spans="1:20" ht="42.75">
      <c r="A14" s="1" t="s">
        <v>23</v>
      </c>
      <c r="B14" s="1">
        <v>0.29806425275037302</v>
      </c>
      <c r="C14" s="1">
        <v>1.63862313623541</v>
      </c>
      <c r="D14" s="1">
        <v>7.9605025213349201E-4</v>
      </c>
      <c r="E14" s="2">
        <v>-9.9886654138366601E-5</v>
      </c>
      <c r="F14" s="1">
        <v>2.14889476065881</v>
      </c>
      <c r="G14" s="1">
        <v>42.329014359997899</v>
      </c>
      <c r="H14" s="1">
        <v>1.1571538683122799E-3</v>
      </c>
    </row>
    <row r="15" spans="1:20" ht="42.75">
      <c r="A15" s="1" t="s">
        <v>24</v>
      </c>
      <c r="B15" s="1">
        <v>0.29361605170472399</v>
      </c>
      <c r="C15" s="1">
        <v>1.63926783580658</v>
      </c>
      <c r="D15" s="1">
        <v>3.9380396434192399E-4</v>
      </c>
      <c r="E15" s="2">
        <v>-6.2375690355020701E-6</v>
      </c>
      <c r="F15" s="1">
        <v>2.15133921310085</v>
      </c>
      <c r="G15" s="1">
        <v>40.322173802497097</v>
      </c>
      <c r="H15" s="1">
        <v>5.7857693514868703E-4</v>
      </c>
    </row>
    <row r="16" spans="1:20" ht="42.75">
      <c r="A16" s="1" t="s">
        <v>25</v>
      </c>
      <c r="B16" s="1">
        <v>0.29750345759486801</v>
      </c>
      <c r="C16" s="1">
        <v>1.6392940192571199</v>
      </c>
      <c r="D16" s="1">
        <v>5.9047614478486101E-4</v>
      </c>
      <c r="E16" s="2">
        <v>-8.3612394831919802E-5</v>
      </c>
      <c r="F16" s="1">
        <v>2.1490014133051498</v>
      </c>
      <c r="G16" s="1">
        <v>42.318063799584998</v>
      </c>
      <c r="H16" s="1">
        <v>1.1571538666981301E-3</v>
      </c>
    </row>
    <row r="17" spans="1:8" ht="42.75">
      <c r="A17" s="1" t="s">
        <v>26</v>
      </c>
      <c r="B17" s="1">
        <v>0.29221770492358401</v>
      </c>
      <c r="C17" s="1">
        <v>1.6396070346263101</v>
      </c>
      <c r="D17" s="1">
        <v>5.2742697183284803E-4</v>
      </c>
      <c r="E17" s="1">
        <v>-1.2631901929029E-4</v>
      </c>
      <c r="F17" s="1">
        <v>2.1463611460920098</v>
      </c>
      <c r="G17" s="1">
        <v>40.318555705471297</v>
      </c>
      <c r="H17" s="1">
        <v>5.7857694651714995E-4</v>
      </c>
    </row>
    <row r="18" spans="1:8" ht="42.75">
      <c r="A18" s="1" t="s">
        <v>27</v>
      </c>
      <c r="B18" s="1">
        <v>0.29462962623990302</v>
      </c>
      <c r="C18" s="1">
        <v>1.63921945461761</v>
      </c>
      <c r="D18" s="2">
        <v>7.6242554225330796E-5</v>
      </c>
      <c r="E18" s="2">
        <v>3.4582537150453601E-5</v>
      </c>
      <c r="F18" s="1">
        <v>2.1496429035727398</v>
      </c>
      <c r="G18" s="1">
        <v>42.194722154397802</v>
      </c>
      <c r="H18" s="1">
        <v>1.15680028170517E-3</v>
      </c>
    </row>
    <row r="19" spans="1:8" ht="42.75">
      <c r="A19" s="1" t="s">
        <v>28</v>
      </c>
      <c r="B19" s="1">
        <v>0.29592312403825599</v>
      </c>
      <c r="C19" s="1">
        <v>1.63842787871104</v>
      </c>
      <c r="D19" s="1">
        <v>7.1231774763304897E-4</v>
      </c>
      <c r="E19" s="2">
        <v>-7.4123004548519095E-5</v>
      </c>
      <c r="F19" s="1">
        <v>2.6374895328353598</v>
      </c>
      <c r="G19" s="1">
        <v>42.340840966470999</v>
      </c>
      <c r="H19" s="1">
        <v>1.1566934730373401E-3</v>
      </c>
    </row>
    <row r="20" spans="1:8" ht="42.75">
      <c r="A20" s="1" t="s">
        <v>29</v>
      </c>
      <c r="B20" s="1">
        <v>0.29448024773360298</v>
      </c>
      <c r="C20" s="1">
        <v>1.6381317969601601</v>
      </c>
      <c r="D20" s="1">
        <v>8.5738004796519695E-4</v>
      </c>
      <c r="E20" s="1">
        <v>-1.26717902597995E-4</v>
      </c>
      <c r="F20" s="1">
        <v>2.14597820211752</v>
      </c>
      <c r="G20" s="1">
        <v>41.338639818298098</v>
      </c>
      <c r="H20" s="1">
        <v>7.5215498722363096E-4</v>
      </c>
    </row>
    <row r="21" spans="1:8" ht="42.75">
      <c r="A21" s="1" t="s">
        <v>30</v>
      </c>
      <c r="B21" s="1">
        <v>0.29587930445673999</v>
      </c>
      <c r="C21" s="1">
        <v>1.63813651351148</v>
      </c>
      <c r="D21" s="1">
        <v>3.0896892062050102E-4</v>
      </c>
      <c r="E21" s="2">
        <v>-2.91741981674192E-5</v>
      </c>
      <c r="F21" s="1">
        <v>2.1485232482294401</v>
      </c>
      <c r="G21" s="1">
        <v>42.3456510685956</v>
      </c>
      <c r="H21" s="1">
        <v>1.1569860718993899E-3</v>
      </c>
    </row>
    <row r="22" spans="1:8" ht="42.75">
      <c r="A22" s="1" t="s">
        <v>31</v>
      </c>
      <c r="B22" s="1">
        <v>0.28842517989208999</v>
      </c>
      <c r="C22" s="1">
        <v>1.6379108763483701</v>
      </c>
      <c r="D22" s="1">
        <v>1.67148106567111E-4</v>
      </c>
      <c r="E22" s="2">
        <v>3.9376862127437599E-5</v>
      </c>
      <c r="F22" s="1">
        <v>2.1498368043012102</v>
      </c>
      <c r="G22" s="1">
        <v>40.312085455177197</v>
      </c>
      <c r="H22" s="1">
        <v>5.7857698559080604E-4</v>
      </c>
    </row>
    <row r="23" spans="1:8" ht="42.75">
      <c r="A23" s="1" t="s">
        <v>32</v>
      </c>
      <c r="B23" s="1">
        <v>0.29360342062414901</v>
      </c>
      <c r="C23" s="1">
        <v>1.63843899590984</v>
      </c>
      <c r="D23" s="1">
        <v>5.6972673927403196E-4</v>
      </c>
      <c r="E23" s="2">
        <v>-8.3253841942045796E-5</v>
      </c>
      <c r="F23" s="1">
        <v>2.1447431231828902</v>
      </c>
      <c r="G23" s="1">
        <v>40.336979360055402</v>
      </c>
      <c r="H23" s="1">
        <v>5.7857693432583396E-4</v>
      </c>
    </row>
    <row r="24" spans="1:8" ht="42.75">
      <c r="A24" s="1" t="s">
        <v>33</v>
      </c>
      <c r="B24" s="1">
        <v>0.28921987206488498</v>
      </c>
      <c r="C24" s="1">
        <v>1.6385444988756399</v>
      </c>
      <c r="D24" s="1">
        <v>3.5812211296900101E-4</v>
      </c>
      <c r="E24" s="2">
        <v>-4.53771383471655E-5</v>
      </c>
      <c r="F24" s="1">
        <v>1.89372769909788</v>
      </c>
      <c r="G24" s="1">
        <v>40.367498430104398</v>
      </c>
      <c r="H24" s="1">
        <v>5.7857693432395395E-4</v>
      </c>
    </row>
    <row r="25" spans="1:8" ht="42.75">
      <c r="A25" s="1" t="s">
        <v>34</v>
      </c>
      <c r="B25" s="1">
        <v>0.29134851176696303</v>
      </c>
      <c r="C25" s="1">
        <v>1.63863484694563</v>
      </c>
      <c r="D25" s="2">
        <v>2.23951317934849E-5</v>
      </c>
      <c r="E25" s="2">
        <v>-9.3426788832315806E-6</v>
      </c>
      <c r="F25" s="1">
        <v>1.89633007468671</v>
      </c>
      <c r="G25" s="1">
        <v>41.904482525236602</v>
      </c>
      <c r="H25" s="1">
        <v>1.08385105016972E-3</v>
      </c>
    </row>
    <row r="26" spans="1:8" ht="42.75">
      <c r="A26" s="1" t="s">
        <v>35</v>
      </c>
      <c r="B26" s="1">
        <v>0.29264779346075898</v>
      </c>
      <c r="C26" s="1">
        <v>1.6362792063682901</v>
      </c>
      <c r="D26" s="1">
        <v>1.39920794680073E-3</v>
      </c>
      <c r="E26" s="1">
        <v>-1.9978952942271299E-4</v>
      </c>
      <c r="F26" s="1">
        <v>2.64476145576519</v>
      </c>
      <c r="G26" s="1">
        <v>40.3005030369415</v>
      </c>
      <c r="H26" s="1">
        <v>5.7973494075946202E-4</v>
      </c>
    </row>
    <row r="27" spans="1:8" ht="42.75">
      <c r="A27" s="1" t="s">
        <v>36</v>
      </c>
      <c r="B27" s="1">
        <v>0.28825504808202801</v>
      </c>
      <c r="C27" s="1">
        <v>1.6362081858723301</v>
      </c>
      <c r="D27" s="2">
        <v>2.7539923096273599E-5</v>
      </c>
      <c r="E27" s="2">
        <v>5.3038657985712502E-5</v>
      </c>
      <c r="F27" s="1">
        <v>2.6520639626615301</v>
      </c>
      <c r="G27" s="1">
        <v>40.314806540944801</v>
      </c>
      <c r="H27" s="1">
        <v>5.8568398327058402E-4</v>
      </c>
    </row>
    <row r="28" spans="1:8" ht="42.75">
      <c r="A28" s="1" t="s">
        <v>37</v>
      </c>
      <c r="B28" s="1">
        <v>0.29422715038680303</v>
      </c>
      <c r="C28" s="1">
        <v>1.6354044469898801</v>
      </c>
      <c r="D28" s="1">
        <v>7.7236795672007104E-4</v>
      </c>
      <c r="E28" s="1">
        <v>-1.2825732708472199E-4</v>
      </c>
      <c r="F28" s="1">
        <v>2.10736154064772</v>
      </c>
      <c r="G28" s="1">
        <v>42.338473949496603</v>
      </c>
      <c r="H28" s="1">
        <v>1.1462339817390501E-3</v>
      </c>
    </row>
    <row r="29" spans="1:8" ht="42.75">
      <c r="A29" s="1" t="s">
        <v>38</v>
      </c>
      <c r="B29" s="1">
        <v>0.295993095562951</v>
      </c>
      <c r="C29" s="1">
        <v>1.63488581506929</v>
      </c>
      <c r="D29" s="1">
        <v>9.888492249352991E-4</v>
      </c>
      <c r="E29" s="1">
        <v>-1.25065305972887E-4</v>
      </c>
      <c r="F29" s="1">
        <v>2.1384764627054098</v>
      </c>
      <c r="G29" s="1">
        <v>42.338189289636297</v>
      </c>
      <c r="H29" s="1">
        <v>1.1531040158023599E-3</v>
      </c>
    </row>
    <row r="30" spans="1:8" ht="42.75">
      <c r="A30" s="1" t="s">
        <v>39</v>
      </c>
      <c r="B30" s="1">
        <v>0.291643296428021</v>
      </c>
      <c r="C30" s="1">
        <v>1.6353457197343999</v>
      </c>
      <c r="D30" s="1">
        <v>7.2403967087389398E-4</v>
      </c>
      <c r="E30" s="2">
        <v>-8.6193093715202393E-5</v>
      </c>
      <c r="F30" s="1">
        <v>1.89652926335992</v>
      </c>
      <c r="G30" s="1">
        <v>42.296725559934004</v>
      </c>
      <c r="H30" s="1">
        <v>1.1403861583696401E-3</v>
      </c>
    </row>
    <row r="31" spans="1:8" ht="42.75">
      <c r="A31" s="1" t="s">
        <v>40</v>
      </c>
      <c r="B31" s="1">
        <v>0.29408431924388001</v>
      </c>
      <c r="C31" s="1">
        <v>1.6355885935590999</v>
      </c>
      <c r="D31" s="1">
        <v>8.4474177511527099E-4</v>
      </c>
      <c r="E31" s="2">
        <v>-9.7156200003701605E-5</v>
      </c>
      <c r="F31" s="1">
        <v>2.14642998487381</v>
      </c>
      <c r="G31" s="1">
        <v>40.928553815341303</v>
      </c>
      <c r="H31" s="1">
        <v>6.0979641596277303E-4</v>
      </c>
    </row>
    <row r="32" spans="1:8" ht="42.75">
      <c r="A32" s="1" t="s">
        <v>41</v>
      </c>
      <c r="B32" s="1">
        <v>0.29215304331091801</v>
      </c>
      <c r="C32" s="1">
        <v>1.6356973660504299</v>
      </c>
      <c r="D32" s="1">
        <v>2.6837466665690301E-4</v>
      </c>
      <c r="E32" s="2">
        <v>2.46981176428883E-5</v>
      </c>
      <c r="F32" s="1">
        <v>1.8976321680489701</v>
      </c>
      <c r="G32" s="1">
        <v>42.276131927369804</v>
      </c>
      <c r="H32" s="1">
        <v>1.12111632102934E-3</v>
      </c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CB368-1F4F-4C65-B86B-93EC676CB77B}">
  <dimension ref="A1:H34"/>
  <sheetViews>
    <sheetView tabSelected="1" workbookViewId="0">
      <selection activeCell="K4" sqref="K4"/>
    </sheetView>
  </sheetViews>
  <sheetFormatPr defaultRowHeight="14.25"/>
  <sheetData>
    <row r="1" spans="1:8">
      <c r="A1" s="1" t="s">
        <v>0</v>
      </c>
      <c r="B1" s="1" t="s">
        <v>4</v>
      </c>
      <c r="C1" s="1" t="s">
        <v>4</v>
      </c>
    </row>
    <row r="2" spans="1:8" ht="42.75">
      <c r="A2" s="1" t="s">
        <v>11</v>
      </c>
      <c r="B2" s="1">
        <v>17.825013007136501</v>
      </c>
      <c r="C2" s="1">
        <v>0.29193451692567801</v>
      </c>
      <c r="G2">
        <v>894</v>
      </c>
      <c r="H2">
        <v>456</v>
      </c>
    </row>
    <row r="3" spans="1:8" ht="42.75">
      <c r="A3" s="1" t="s">
        <v>12</v>
      </c>
      <c r="B3" s="1">
        <v>17.9319730766783</v>
      </c>
      <c r="C3" s="1">
        <v>0.28873287738484599</v>
      </c>
      <c r="F3" t="s">
        <v>1</v>
      </c>
      <c r="G3">
        <f>AVERAGE(B2:B31)</f>
        <v>18.033386231381442</v>
      </c>
      <c r="H3">
        <f>AVERAGE(C2:C31)</f>
        <v>0.29341388828325116</v>
      </c>
    </row>
    <row r="4" spans="1:8" ht="42.75">
      <c r="A4" s="1" t="s">
        <v>13</v>
      </c>
      <c r="B4" s="1">
        <v>18.039044650769</v>
      </c>
      <c r="C4" s="1">
        <v>0.28985427653153101</v>
      </c>
      <c r="F4" t="s">
        <v>2</v>
      </c>
      <c r="G4">
        <f>_xlfn.STDEV.S(B2:B32)</f>
        <v>8.5947770312498575E-2</v>
      </c>
      <c r="H4">
        <f>_xlfn.STDEV.S(C2:C32)</f>
        <v>2.7127269320201207E-3</v>
      </c>
    </row>
    <row r="5" spans="1:8" ht="42.75">
      <c r="A5" s="1" t="s">
        <v>14</v>
      </c>
      <c r="B5" s="1">
        <v>18.0604756933053</v>
      </c>
      <c r="C5" s="1">
        <v>0.29473582812057803</v>
      </c>
      <c r="F5" t="s">
        <v>3</v>
      </c>
      <c r="G5">
        <f>G4/G3/SQRT(COUNT(B2:B32))</f>
        <v>8.5600535847457767E-4</v>
      </c>
      <c r="H5">
        <f>H4/H3/SQRT(COUNT(C2:C32))</f>
        <v>1.6605217387368372E-3</v>
      </c>
    </row>
    <row r="6" spans="1:8" ht="42.75">
      <c r="A6" s="1" t="s">
        <v>15</v>
      </c>
      <c r="B6" s="1">
        <v>17.9979172106978</v>
      </c>
      <c r="C6" s="1">
        <v>0.29630016894823502</v>
      </c>
    </row>
    <row r="7" spans="1:8" ht="42.75">
      <c r="A7" s="1" t="s">
        <v>16</v>
      </c>
      <c r="B7" s="1">
        <v>17.998827423434999</v>
      </c>
      <c r="C7" s="1">
        <v>0.290375757335809</v>
      </c>
    </row>
    <row r="8" spans="1:8" ht="42.75">
      <c r="A8" s="1" t="s">
        <v>17</v>
      </c>
      <c r="B8" s="1">
        <v>18.041509768701101</v>
      </c>
      <c r="C8" s="1">
        <v>0.29184259037329402</v>
      </c>
    </row>
    <row r="9" spans="1:8" ht="42.75">
      <c r="A9" s="1" t="s">
        <v>18</v>
      </c>
      <c r="B9" s="1">
        <v>18.113057907959</v>
      </c>
      <c r="C9" s="1">
        <v>0.29495272762742802</v>
      </c>
    </row>
    <row r="10" spans="1:8" ht="42.75">
      <c r="A10" s="1" t="s">
        <v>19</v>
      </c>
      <c r="B10" s="1">
        <v>18.000340035364701</v>
      </c>
      <c r="C10" s="1">
        <v>0.29546767207366198</v>
      </c>
    </row>
    <row r="11" spans="1:8" ht="42.75">
      <c r="A11" s="1" t="s">
        <v>20</v>
      </c>
      <c r="B11" s="1">
        <v>18.056008326627001</v>
      </c>
      <c r="C11" s="1">
        <v>0.29613521382059799</v>
      </c>
    </row>
    <row r="12" spans="1:8" ht="42.75">
      <c r="A12" s="1" t="s">
        <v>21</v>
      </c>
      <c r="B12" s="1">
        <v>18.143480906181601</v>
      </c>
      <c r="C12" s="1">
        <v>0.29582825670155199</v>
      </c>
    </row>
    <row r="13" spans="1:8" ht="42.75">
      <c r="A13" s="1" t="s">
        <v>22</v>
      </c>
      <c r="B13" s="1">
        <v>18.0505063076521</v>
      </c>
      <c r="C13" s="1">
        <v>0.29449530569974303</v>
      </c>
    </row>
    <row r="14" spans="1:8" ht="42.75">
      <c r="A14" s="1" t="s">
        <v>23</v>
      </c>
      <c r="B14" s="1">
        <v>17.975837914720699</v>
      </c>
      <c r="C14" s="1">
        <v>0.29806425275037302</v>
      </c>
    </row>
    <row r="15" spans="1:8" ht="42.75">
      <c r="A15" s="1" t="s">
        <v>24</v>
      </c>
      <c r="B15" s="1">
        <v>17.958408612980101</v>
      </c>
      <c r="C15" s="1">
        <v>0.29361605170472399</v>
      </c>
    </row>
    <row r="16" spans="1:8" ht="42.75">
      <c r="A16" s="1" t="s">
        <v>25</v>
      </c>
      <c r="B16" s="1">
        <v>18.089794941394199</v>
      </c>
      <c r="C16" s="1">
        <v>0.29750345759486801</v>
      </c>
    </row>
    <row r="17" spans="1:3" ht="42.75">
      <c r="A17" s="1" t="s">
        <v>26</v>
      </c>
      <c r="B17" s="1">
        <v>18.011107051113001</v>
      </c>
      <c r="C17" s="1">
        <v>0.29221770492358401</v>
      </c>
    </row>
    <row r="18" spans="1:3" ht="42.75">
      <c r="A18" s="1" t="s">
        <v>27</v>
      </c>
      <c r="B18" s="1">
        <v>18.059805482066999</v>
      </c>
      <c r="C18" s="1">
        <v>0.29462962623990302</v>
      </c>
    </row>
    <row r="19" spans="1:3" ht="42.75">
      <c r="A19" s="1" t="s">
        <v>28</v>
      </c>
      <c r="B19" s="1">
        <v>17.9483749982906</v>
      </c>
      <c r="C19" s="1">
        <v>0.29592312403825599</v>
      </c>
    </row>
    <row r="20" spans="1:3" ht="42.75">
      <c r="A20" s="1" t="s">
        <v>29</v>
      </c>
      <c r="B20" s="1">
        <v>17.986594818813899</v>
      </c>
      <c r="C20" s="1">
        <v>0.29448024773360298</v>
      </c>
    </row>
    <row r="21" spans="1:3" ht="42.75">
      <c r="A21" s="1" t="s">
        <v>30</v>
      </c>
      <c r="B21" s="1">
        <v>18.0136321630971</v>
      </c>
      <c r="C21" s="1">
        <v>0.29587930445673999</v>
      </c>
    </row>
    <row r="22" spans="1:3" ht="42.75">
      <c r="A22" s="1" t="s">
        <v>31</v>
      </c>
      <c r="B22" s="1">
        <v>18.175378572568899</v>
      </c>
      <c r="C22" s="1">
        <v>0.28842517989208999</v>
      </c>
    </row>
    <row r="23" spans="1:3" ht="42.75">
      <c r="A23" s="1" t="s">
        <v>32</v>
      </c>
      <c r="B23" s="1">
        <v>18.118575471661899</v>
      </c>
      <c r="C23" s="1">
        <v>0.29360342062414901</v>
      </c>
    </row>
    <row r="24" spans="1:3" ht="42.75">
      <c r="A24" s="1" t="s">
        <v>33</v>
      </c>
      <c r="B24" s="1">
        <v>17.929983986435602</v>
      </c>
      <c r="C24" s="1">
        <v>0.28921987206488498</v>
      </c>
    </row>
    <row r="25" spans="1:3" ht="42.75">
      <c r="A25" s="1" t="s">
        <v>34</v>
      </c>
      <c r="B25" s="1">
        <v>18.106604307150199</v>
      </c>
      <c r="C25" s="1">
        <v>0.29134851176696303</v>
      </c>
    </row>
    <row r="26" spans="1:3" ht="42.75">
      <c r="A26" s="1" t="s">
        <v>35</v>
      </c>
      <c r="B26" s="1">
        <v>17.996855885347902</v>
      </c>
      <c r="C26" s="1">
        <v>0.29264779346075898</v>
      </c>
    </row>
    <row r="27" spans="1:3" ht="42.75">
      <c r="A27" s="1" t="s">
        <v>36</v>
      </c>
      <c r="B27" s="1">
        <v>18.121396667491499</v>
      </c>
      <c r="C27" s="1">
        <v>0.28825504808202801</v>
      </c>
    </row>
    <row r="28" spans="1:3" ht="42.75">
      <c r="A28" s="1" t="s">
        <v>37</v>
      </c>
      <c r="B28" s="1">
        <v>18.094216738234799</v>
      </c>
      <c r="C28" s="1">
        <v>0.29422715038680303</v>
      </c>
    </row>
    <row r="29" spans="1:3" ht="42.75">
      <c r="A29" s="1" t="s">
        <v>38</v>
      </c>
      <c r="B29" s="1">
        <v>18.1174045096291</v>
      </c>
      <c r="C29" s="1">
        <v>0.295993095562951</v>
      </c>
    </row>
    <row r="30" spans="1:3" ht="42.75">
      <c r="A30" s="1" t="s">
        <v>39</v>
      </c>
      <c r="B30" s="1">
        <v>17.975345051957699</v>
      </c>
      <c r="C30" s="1">
        <v>0.291643296428021</v>
      </c>
    </row>
    <row r="31" spans="1:3" ht="42.75">
      <c r="A31" s="1" t="s">
        <v>40</v>
      </c>
      <c r="B31" s="1">
        <v>18.0641154539816</v>
      </c>
      <c r="C31" s="1">
        <v>0.29408431924388001</v>
      </c>
    </row>
    <row r="32" spans="1:3" ht="42.75">
      <c r="A32" s="1" t="s">
        <v>41</v>
      </c>
      <c r="B32" s="1">
        <v>18.268545430641002</v>
      </c>
      <c r="C32" s="1">
        <v>0.29215304331091801</v>
      </c>
    </row>
    <row r="33" spans="1:3">
      <c r="A33" s="1"/>
      <c r="B33" s="1"/>
      <c r="C33" s="1"/>
    </row>
    <row r="34" spans="1:3">
      <c r="C3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894</vt:lpstr>
      <vt:lpstr>456</vt:lpstr>
      <vt:lpstr>AbsCoef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Garcia</dc:creator>
  <cp:lastModifiedBy>Diego Esteban Garcia</cp:lastModifiedBy>
  <dcterms:created xsi:type="dcterms:W3CDTF">2026-06-24T14:26:48Z</dcterms:created>
  <dcterms:modified xsi:type="dcterms:W3CDTF">2026-07-07T19:02:28Z</dcterms:modified>
</cp:coreProperties>
</file>