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\Jun15,2026\"/>
    </mc:Choice>
  </mc:AlternateContent>
  <xr:revisionPtr revIDLastSave="0" documentId="13_ncr:1_{93A3B46F-3669-4CE0-B900-4401AC4021C6}" xr6:coauthVersionLast="47" xr6:coauthVersionMax="47" xr10:uidLastSave="{00000000-0000-0000-0000-000000000000}"/>
  <bookViews>
    <workbookView xWindow="28680" yWindow="-120" windowWidth="29040" windowHeight="15720" activeTab="2" xr2:uid="{D9E101C5-8284-4B59-8B1C-2AD2D5F2FDD3}"/>
  </bookViews>
  <sheets>
    <sheet name="894" sheetId="2" r:id="rId1"/>
    <sheet name="456" sheetId="1" r:id="rId2"/>
    <sheet name="AbsCo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F3" i="3"/>
  <c r="F4" i="3"/>
  <c r="G5" i="3" l="1"/>
  <c r="F5" i="3"/>
</calcChain>
</file>

<file path=xl/sharedStrings.xml><?xml version="1.0" encoding="utf-8"?>
<sst xmlns="http://schemas.openxmlformats.org/spreadsheetml/2006/main" count="115" uniqueCount="42">
  <si>
    <t>Date</t>
  </si>
  <si>
    <t>Mean</t>
  </si>
  <si>
    <t>STD</t>
  </si>
  <si>
    <t>Mean/std/sqrt(n)</t>
  </si>
  <si>
    <t>Alpha</t>
  </si>
  <si>
    <t>P0</t>
  </si>
  <si>
    <t>h1</t>
  </si>
  <si>
    <t>mv</t>
  </si>
  <si>
    <t>T</t>
  </si>
  <si>
    <t>gamma</t>
  </si>
  <si>
    <t>offset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</si>
  <si>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</si>
  <si>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</si>
  <si>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</si>
  <si>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</si>
  <si>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</si>
  <si>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</si>
  <si>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</si>
  <si>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</si>
  <si>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</si>
  <si>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</si>
  <si>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</si>
  <si>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</si>
  <si>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Jun15,2026+9-28-53AM</t>
  </si>
  <si>
    <t>Jun15,2026+9-38-11AM</t>
  </si>
  <si>
    <t>Jun15,2026+9-48-22AM</t>
  </si>
  <si>
    <t>Jun15,2026+9-56-18AM</t>
  </si>
  <si>
    <t>Jun15,2026+1-02-29PM</t>
  </si>
  <si>
    <t>Jun15,2026+1-13-12PM</t>
  </si>
  <si>
    <t>Jun15,2026+1-36-30PM</t>
  </si>
  <si>
    <t>Jun15,2026+1-46-31PM</t>
  </si>
  <si>
    <t>Jun15,2026+12-36-54PM</t>
  </si>
  <si>
    <t>Jun15,2026+12-46-50PM</t>
  </si>
  <si>
    <t>Jun15,2026+12-54-40PM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</si>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</sst>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617D-2BBC-4C21-ADC4-3687FEC8C6E3}">
  <dimension ref="A1:S33"/>
  <sheetViews>
    <sheetView workbookViewId="0">
      <selection sqref="A1:B1048576"/>
    </sheetView>
  </sheetViews>
  <sheetFormatPr defaultRowHeight="14.25"/>
  <sheetData>
    <row r="1" spans="1:19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K1" s="1"/>
      <c r="L1" s="1"/>
      <c r="M1" s="1"/>
      <c r="N1" s="1"/>
      <c r="O1" s="1"/>
      <c r="P1" s="1"/>
      <c r="Q1" s="1"/>
      <c r="R1" s="1"/>
      <c r="S1" s="1"/>
    </row>
    <row r="2" spans="1:19" ht="42.75">
      <c r="A2" s="1" t="s">
        <v>23</v>
      </c>
      <c r="B2" s="1">
        <v>15.5831740366148</v>
      </c>
      <c r="C2" s="1">
        <v>1.37129483539682</v>
      </c>
      <c r="D2" s="1">
        <v>-1.9596485712697199E-3</v>
      </c>
      <c r="E2" s="1">
        <v>2.12747121390397</v>
      </c>
      <c r="F2" s="1">
        <v>39.632397000031702</v>
      </c>
      <c r="G2" s="1">
        <v>2.2873004957944202E-3</v>
      </c>
      <c r="H2" s="1"/>
      <c r="S2" s="1"/>
    </row>
    <row r="3" spans="1:19" ht="42.75">
      <c r="A3" s="1" t="s">
        <v>24</v>
      </c>
      <c r="B3" s="1">
        <v>15.6181213588261</v>
      </c>
      <c r="C3" s="1">
        <v>1.36644681594039</v>
      </c>
      <c r="D3" s="1">
        <v>-1.96860846762623E-3</v>
      </c>
      <c r="E3" s="1">
        <v>2.1229882608330501</v>
      </c>
      <c r="F3" s="1">
        <v>39.653833720142899</v>
      </c>
      <c r="G3" s="1">
        <v>2.2873004957025601E-3</v>
      </c>
      <c r="H3" s="1"/>
      <c r="S3" s="1"/>
    </row>
    <row r="4" spans="1:19" ht="42.75">
      <c r="A4" s="1" t="s">
        <v>25</v>
      </c>
      <c r="B4" s="1">
        <v>15.471660411280601</v>
      </c>
      <c r="C4" s="1">
        <v>1.3687345268493201</v>
      </c>
      <c r="D4" s="1">
        <v>-1.9467729720123201E-3</v>
      </c>
      <c r="E4" s="1">
        <v>2.12349485399334</v>
      </c>
      <c r="F4" s="1">
        <v>41.651026518727399</v>
      </c>
      <c r="G4" s="1">
        <v>3.2372435239612601E-3</v>
      </c>
      <c r="H4" s="1"/>
      <c r="S4" s="1"/>
    </row>
    <row r="5" spans="1:19" ht="42.75">
      <c r="A5" s="1" t="s">
        <v>26</v>
      </c>
      <c r="B5" s="1">
        <v>15.4286358328345</v>
      </c>
      <c r="C5" s="1">
        <v>1.3611635840705401</v>
      </c>
      <c r="D5" s="1">
        <v>-1.3955766721141601E-3</v>
      </c>
      <c r="E5" s="1">
        <v>2.1282262048582501</v>
      </c>
      <c r="F5" s="1">
        <v>41.695965399672701</v>
      </c>
      <c r="G5" s="1">
        <v>2.7653353215860198E-3</v>
      </c>
      <c r="H5" s="1"/>
      <c r="S5" s="1"/>
    </row>
    <row r="6" spans="1:19" ht="42.75">
      <c r="A6" s="1" t="s">
        <v>11</v>
      </c>
      <c r="B6" s="1">
        <v>15.725390191826</v>
      </c>
      <c r="C6" s="1">
        <v>1.3673438778376701</v>
      </c>
      <c r="D6" s="1">
        <v>-1.6742439187722E-3</v>
      </c>
      <c r="E6" s="1">
        <v>2.12616700922639</v>
      </c>
      <c r="F6" s="1">
        <v>39.725464751471399</v>
      </c>
      <c r="G6" s="1">
        <v>2.2873004957055499E-3</v>
      </c>
      <c r="H6" s="1"/>
      <c r="S6" s="1"/>
    </row>
    <row r="7" spans="1:19" ht="42.75">
      <c r="A7" s="1" t="s">
        <v>12</v>
      </c>
      <c r="B7" s="1">
        <v>15.6295450777592</v>
      </c>
      <c r="C7" s="1">
        <v>1.3684350481480201</v>
      </c>
      <c r="D7" s="1">
        <v>-1.2002097111071799E-3</v>
      </c>
      <c r="E7" s="1">
        <v>2.1237899687445601</v>
      </c>
      <c r="F7" s="1">
        <v>39.725158220032398</v>
      </c>
      <c r="G7" s="1">
        <v>2.2873004957023801E-3</v>
      </c>
      <c r="H7" s="1"/>
      <c r="S7" s="1"/>
    </row>
    <row r="8" spans="1:19" ht="42.75">
      <c r="A8" s="1" t="s">
        <v>13</v>
      </c>
      <c r="B8" s="1">
        <v>15.5447105698267</v>
      </c>
      <c r="C8" s="1">
        <v>1.36319789880999</v>
      </c>
      <c r="D8" s="1">
        <v>-1.2279532373610401E-3</v>
      </c>
      <c r="E8" s="1">
        <v>2.1223779385591799</v>
      </c>
      <c r="F8" s="1">
        <v>41.7461965999426</v>
      </c>
      <c r="G8" s="1">
        <v>3.1641230012183102E-3</v>
      </c>
      <c r="H8" s="1"/>
      <c r="S8" s="1"/>
    </row>
    <row r="9" spans="1:19" ht="42.75">
      <c r="A9" s="1" t="s">
        <v>14</v>
      </c>
      <c r="B9" s="1">
        <v>15.641779033917301</v>
      </c>
      <c r="C9" s="1">
        <v>1.35964857269041</v>
      </c>
      <c r="D9" s="1">
        <v>-1.3727931430477199E-3</v>
      </c>
      <c r="E9" s="1">
        <v>2.1266533498387399</v>
      </c>
      <c r="F9" s="1">
        <v>39.762256790868904</v>
      </c>
      <c r="G9" s="1">
        <v>2.28730049570225E-3</v>
      </c>
      <c r="H9" s="1"/>
      <c r="S9" s="1"/>
    </row>
    <row r="10" spans="1:19" ht="42.75">
      <c r="A10" s="1" t="s">
        <v>15</v>
      </c>
      <c r="B10" s="1">
        <v>15.560241393406899</v>
      </c>
      <c r="C10" s="1">
        <v>1.3659143072856501</v>
      </c>
      <c r="D10" s="1">
        <v>-1.51433965822676E-3</v>
      </c>
      <c r="E10" s="1">
        <v>2.12366594721547</v>
      </c>
      <c r="F10" s="1">
        <v>39.800237530303498</v>
      </c>
      <c r="G10" s="1">
        <v>2.28730049570226E-3</v>
      </c>
      <c r="H10" s="1"/>
      <c r="S10" s="1"/>
    </row>
    <row r="11" spans="1:19" ht="42.75">
      <c r="A11" s="1" t="s">
        <v>16</v>
      </c>
      <c r="B11" s="1">
        <v>15.6798903930978</v>
      </c>
      <c r="C11" s="1">
        <v>1.3593073216118801</v>
      </c>
      <c r="D11" s="1">
        <v>-1.35151346502569E-3</v>
      </c>
      <c r="E11" s="1">
        <v>2.12247670058336</v>
      </c>
      <c r="F11" s="1">
        <v>40.809280456182897</v>
      </c>
      <c r="G11" s="1">
        <v>2.28730896107124E-3</v>
      </c>
      <c r="H11" s="1"/>
      <c r="S11" s="1"/>
    </row>
    <row r="12" spans="1:19" ht="42.75">
      <c r="A12" s="1" t="s">
        <v>17</v>
      </c>
      <c r="B12" s="1">
        <v>15.5257705053734</v>
      </c>
      <c r="C12" s="1">
        <v>1.3614486129449701</v>
      </c>
      <c r="D12" s="1">
        <v>-8.5109590465172003E-4</v>
      </c>
      <c r="E12" s="1">
        <v>2.1240995208231501</v>
      </c>
      <c r="F12" s="1">
        <v>41.8454814299727</v>
      </c>
      <c r="G12" s="1">
        <v>3.4533282178796899E-3</v>
      </c>
      <c r="H12" s="1"/>
      <c r="S12" s="1"/>
    </row>
    <row r="13" spans="1:19" ht="42.75">
      <c r="A13" s="1" t="s">
        <v>18</v>
      </c>
      <c r="B13" s="1">
        <v>15.5068553708303</v>
      </c>
      <c r="C13" s="1">
        <v>1.3621931875853599</v>
      </c>
      <c r="D13" s="1">
        <v>-1.6056347000023301E-3</v>
      </c>
      <c r="E13" s="1">
        <v>2.1216927026263002</v>
      </c>
      <c r="F13" s="1">
        <v>41.842425689910399</v>
      </c>
      <c r="G13" s="1">
        <v>2.4462218548453999E-3</v>
      </c>
      <c r="H13" s="1"/>
      <c r="S13" s="1"/>
    </row>
    <row r="14" spans="1:19" ht="42.75">
      <c r="A14" s="1" t="s">
        <v>19</v>
      </c>
      <c r="B14" s="1">
        <v>15.7245514226287</v>
      </c>
      <c r="C14" s="1">
        <v>1.3634369321055799</v>
      </c>
      <c r="D14" s="1">
        <v>-1.5643944634753501E-3</v>
      </c>
      <c r="E14" s="1">
        <v>2.1272994527804499</v>
      </c>
      <c r="F14" s="1">
        <v>40.904872495470599</v>
      </c>
      <c r="G14" s="1">
        <v>2.2878129954192299E-3</v>
      </c>
      <c r="H14" s="1"/>
      <c r="S14" s="1"/>
    </row>
    <row r="15" spans="1:19" ht="42.75">
      <c r="A15" s="1" t="s">
        <v>20</v>
      </c>
      <c r="B15" s="1">
        <v>15.653971830187899</v>
      </c>
      <c r="C15" s="1">
        <v>1.3615620201467999</v>
      </c>
      <c r="D15" s="1">
        <v>9.9985371423990093E-4</v>
      </c>
      <c r="E15" s="1">
        <v>2.1257995436516999</v>
      </c>
      <c r="F15" s="1">
        <v>39.869132870000101</v>
      </c>
      <c r="G15" s="1">
        <v>2.2873004957054601E-3</v>
      </c>
      <c r="H15" s="1"/>
      <c r="S15" s="1"/>
    </row>
    <row r="16" spans="1:19" ht="42.75">
      <c r="A16" s="1" t="s">
        <v>21</v>
      </c>
      <c r="B16" s="1">
        <v>15.585241971938</v>
      </c>
      <c r="C16" s="1">
        <v>1.3659343655238101</v>
      </c>
      <c r="D16" s="1">
        <v>-4.5962793882089298E-4</v>
      </c>
      <c r="E16" s="1">
        <v>2.1233802939481699</v>
      </c>
      <c r="F16" s="1">
        <v>39.910916930004497</v>
      </c>
      <c r="G16" s="1">
        <v>2.2873004957014299E-3</v>
      </c>
      <c r="H16" s="1"/>
      <c r="S16" s="1"/>
    </row>
    <row r="17" spans="1:8" ht="42.75">
      <c r="A17" s="1" t="s">
        <v>22</v>
      </c>
      <c r="B17" s="1">
        <v>15.591441713773801</v>
      </c>
      <c r="C17" s="1">
        <v>1.36722102028013</v>
      </c>
      <c r="D17" s="1">
        <v>-1.11092053961392E-3</v>
      </c>
      <c r="E17" s="1">
        <v>2.1222014173290198</v>
      </c>
      <c r="F17" s="1">
        <v>41.210250491588198</v>
      </c>
      <c r="G17" s="1">
        <v>2.2873004958663501E-3</v>
      </c>
      <c r="H17" s="1"/>
    </row>
    <row r="18" spans="1:8" ht="42.75">
      <c r="A18" s="1" t="s">
        <v>27</v>
      </c>
      <c r="B18" s="1">
        <v>15.5612294230614</v>
      </c>
      <c r="C18" s="1">
        <v>1.36319832622257</v>
      </c>
      <c r="D18" s="1">
        <v>-1.26823895865391E-3</v>
      </c>
      <c r="E18" s="1">
        <v>2.1230178441447398</v>
      </c>
      <c r="F18" s="1">
        <v>41.939990149795399</v>
      </c>
      <c r="G18" s="1">
        <v>3.05024078316547E-3</v>
      </c>
      <c r="H18" s="1"/>
    </row>
    <row r="19" spans="1:8" ht="42.75">
      <c r="A19" s="1" t="s">
        <v>28</v>
      </c>
      <c r="B19" s="1">
        <v>15.389959627991299</v>
      </c>
      <c r="C19" s="1">
        <v>1.3628346147619499</v>
      </c>
      <c r="D19" s="1">
        <v>-1.00372466438176E-3</v>
      </c>
      <c r="E19" s="1">
        <v>2.1263828233524298</v>
      </c>
      <c r="F19" s="1">
        <v>41.957418189971598</v>
      </c>
      <c r="G19" s="1">
        <v>3.2682146705382401E-3</v>
      </c>
      <c r="H19" s="1"/>
    </row>
    <row r="20" spans="1:8" ht="42.75">
      <c r="A20" s="1" t="s">
        <v>29</v>
      </c>
      <c r="B20" s="1">
        <v>15.6769168147221</v>
      </c>
      <c r="C20" s="1">
        <v>1.3681252308727601</v>
      </c>
      <c r="D20" s="1">
        <v>-8.47153682853858E-4</v>
      </c>
      <c r="E20" s="1">
        <v>2.3271099771714199</v>
      </c>
      <c r="F20" s="1">
        <v>40.000728954091798</v>
      </c>
      <c r="G20" s="1">
        <v>2.28730049581915E-3</v>
      </c>
      <c r="H20" s="1"/>
    </row>
    <row r="21" spans="1:8" ht="42.75">
      <c r="A21" s="1" t="s">
        <v>30</v>
      </c>
      <c r="B21" s="1">
        <v>15.516217850365001</v>
      </c>
      <c r="C21" s="1">
        <v>1.3697968160752101</v>
      </c>
      <c r="D21" s="1">
        <v>-1.4540386146123601E-3</v>
      </c>
      <c r="E21" s="1">
        <v>2.1253174732693401</v>
      </c>
      <c r="F21" s="1">
        <v>40.018259420047798</v>
      </c>
      <c r="G21" s="1">
        <v>2.2873004957465102E-3</v>
      </c>
      <c r="H21" s="1"/>
    </row>
    <row r="22" spans="1:8" ht="42.75">
      <c r="A22" s="1" t="s">
        <v>31</v>
      </c>
      <c r="B22" s="1">
        <v>15.513624662526899</v>
      </c>
      <c r="C22" s="1">
        <v>1.36547520629083</v>
      </c>
      <c r="D22" s="1">
        <v>-1.1110982224644E-3</v>
      </c>
      <c r="E22" s="1">
        <v>2.3245767330140401</v>
      </c>
      <c r="F22" s="1">
        <v>41.9275196899926</v>
      </c>
      <c r="G22" s="1">
        <v>3.6364708689849302E-3</v>
      </c>
    </row>
    <row r="23" spans="1:8" ht="42.75">
      <c r="A23" s="1" t="s">
        <v>32</v>
      </c>
      <c r="B23" s="1">
        <v>15.550450799138201</v>
      </c>
      <c r="C23" s="1">
        <v>1.3617091130864001</v>
      </c>
      <c r="D23" s="1">
        <v>2.0488965100211301E-4</v>
      </c>
      <c r="E23" s="1">
        <v>2.1281848824561398</v>
      </c>
      <c r="F23" s="1">
        <v>41.951781569332098</v>
      </c>
      <c r="G23" s="1">
        <v>2.8920200739009001E-3</v>
      </c>
    </row>
    <row r="24" spans="1:8" ht="42.75">
      <c r="A24" s="1" t="s">
        <v>33</v>
      </c>
      <c r="B24" s="1">
        <v>15.5999990421973</v>
      </c>
      <c r="C24" s="1">
        <v>1.36190847996507</v>
      </c>
      <c r="D24" s="1">
        <v>-9.8759101218143198E-4</v>
      </c>
      <c r="E24" s="1">
        <v>2.1218358809988001</v>
      </c>
      <c r="F24" s="1">
        <v>39.949349246578102</v>
      </c>
      <c r="G24" s="1">
        <v>2.2947181704657499E-3</v>
      </c>
    </row>
    <row r="25" spans="1:8" ht="42.75">
      <c r="A25" s="1" t="s">
        <v>34</v>
      </c>
      <c r="B25" s="1">
        <v>15.4712021433598</v>
      </c>
      <c r="C25" s="1">
        <v>1.37109090964827</v>
      </c>
      <c r="D25" s="1">
        <v>-1.49745525695397E-3</v>
      </c>
      <c r="E25" s="1">
        <v>2.1248672614436201</v>
      </c>
      <c r="F25" s="1">
        <v>42.0546005298376</v>
      </c>
      <c r="G25" s="1">
        <v>3.5344410523030501E-3</v>
      </c>
    </row>
    <row r="26" spans="1:8" ht="42.75">
      <c r="A26" s="1" t="s">
        <v>35</v>
      </c>
      <c r="B26" s="1">
        <v>15.4267437621642</v>
      </c>
      <c r="C26" s="1">
        <v>1.3688752120323999</v>
      </c>
      <c r="D26" s="1">
        <v>-1.2822511579815099E-3</v>
      </c>
      <c r="E26" s="1">
        <v>2.1256863751849902</v>
      </c>
      <c r="F26" s="1">
        <v>42.111875674472103</v>
      </c>
      <c r="G26" s="1">
        <v>3.3983841629788799E-3</v>
      </c>
    </row>
    <row r="27" spans="1:8" ht="42.75">
      <c r="A27" s="1" t="s">
        <v>36</v>
      </c>
      <c r="B27" s="1">
        <v>15.363023447442201</v>
      </c>
      <c r="C27" s="1">
        <v>1.369219431349</v>
      </c>
      <c r="D27" s="1">
        <v>-1.27164296391083E-3</v>
      </c>
      <c r="E27" s="1">
        <v>2.1265390045983099</v>
      </c>
      <c r="F27" s="1">
        <v>42.125909816823899</v>
      </c>
      <c r="G27" s="1">
        <v>3.38162753208091E-3</v>
      </c>
    </row>
    <row r="28" spans="1:8" ht="42.75">
      <c r="A28" s="1" t="s">
        <v>37</v>
      </c>
      <c r="B28" s="1">
        <v>15.4784018893041</v>
      </c>
      <c r="C28" s="1">
        <v>1.3670098420179</v>
      </c>
      <c r="D28" s="1">
        <v>-1.1745797937234099E-3</v>
      </c>
      <c r="E28" s="1">
        <v>2.1280868752937998</v>
      </c>
      <c r="F28" s="1">
        <v>42.097944139458797</v>
      </c>
      <c r="G28" s="1">
        <v>2.6948370741979701E-3</v>
      </c>
    </row>
    <row r="29" spans="1:8" ht="42.75">
      <c r="A29" s="1" t="s">
        <v>38</v>
      </c>
      <c r="B29" s="1">
        <v>15.598700910453401</v>
      </c>
      <c r="C29" s="1">
        <v>1.3586537746712199</v>
      </c>
      <c r="D29" s="1">
        <v>-8.1003860431185502E-4</v>
      </c>
      <c r="E29" s="1">
        <v>2.1271586527092698</v>
      </c>
      <c r="F29" s="1">
        <v>40.163686460592501</v>
      </c>
      <c r="G29" s="1">
        <v>2.2873004957014798E-3</v>
      </c>
    </row>
    <row r="30" spans="1:8" ht="42.75">
      <c r="A30" s="1" t="s">
        <v>39</v>
      </c>
      <c r="B30" s="1">
        <v>15.699463941581101</v>
      </c>
      <c r="C30" s="1">
        <v>1.3634908538766699</v>
      </c>
      <c r="D30" s="1">
        <v>-1.34182677408468E-3</v>
      </c>
      <c r="E30" s="1">
        <v>2.1261579218250701</v>
      </c>
      <c r="F30" s="1">
        <v>40.168104820056101</v>
      </c>
      <c r="G30" s="1">
        <v>2.2873004957153502E-3</v>
      </c>
    </row>
    <row r="31" spans="1:8" ht="42.75">
      <c r="A31" s="1" t="s">
        <v>40</v>
      </c>
      <c r="B31" s="1">
        <v>15.751226314712399</v>
      </c>
      <c r="C31" s="1">
        <v>1.36727759437996</v>
      </c>
      <c r="D31" s="1">
        <v>-1.5001118806802799E-3</v>
      </c>
      <c r="E31" s="1">
        <v>2.1250359419287901</v>
      </c>
      <c r="F31" s="1">
        <v>40.1600437900183</v>
      </c>
      <c r="G31" s="1">
        <v>2.2873004957014E-3</v>
      </c>
    </row>
    <row r="32" spans="1:8" ht="42.75">
      <c r="A32" s="1" t="s">
        <v>41</v>
      </c>
      <c r="B32" s="1">
        <v>15.601321813860199</v>
      </c>
      <c r="C32" s="1">
        <v>1.3627400155488301</v>
      </c>
      <c r="D32" s="1">
        <v>-1.37881552759904E-3</v>
      </c>
      <c r="E32" s="1">
        <v>2.12474875916873</v>
      </c>
      <c r="F32" s="1">
        <v>40.178052638009603</v>
      </c>
      <c r="G32" s="1">
        <v>2.2873004957572598E-3</v>
      </c>
    </row>
    <row r="33" spans="1:7">
      <c r="A33" s="1"/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646E0-737D-49FA-A2CA-7848F848076B}">
  <dimension ref="A1:T44"/>
  <sheetViews>
    <sheetView zoomScale="99" zoomScaleNormal="99" workbookViewId="0">
      <selection activeCell="A2" sqref="A2:B32"/>
    </sheetView>
  </sheetViews>
  <sheetFormatPr defaultRowHeight="14.25"/>
  <sheetData>
    <row r="1" spans="1:20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/>
      <c r="L1" s="1"/>
      <c r="M1" s="1"/>
      <c r="N1" s="1"/>
      <c r="O1" s="1"/>
      <c r="P1" s="1"/>
      <c r="Q1" s="1"/>
      <c r="R1" s="1"/>
      <c r="S1" s="1"/>
      <c r="T1" s="1"/>
    </row>
    <row r="2" spans="1:20" ht="42.75">
      <c r="A2" s="1" t="s">
        <v>23</v>
      </c>
      <c r="B2" s="1">
        <v>0.20299557534608501</v>
      </c>
      <c r="C2" s="1">
        <v>1.5328648223324699</v>
      </c>
      <c r="D2" s="1">
        <v>9.4377834366854896E-4</v>
      </c>
      <c r="E2" s="1">
        <v>-1.13269358223719E-4</v>
      </c>
      <c r="F2" s="1">
        <v>3.6643019976674802</v>
      </c>
      <c r="G2" s="1">
        <v>41.643247909909803</v>
      </c>
      <c r="H2" s="1">
        <v>1.1546792524076599E-3</v>
      </c>
    </row>
    <row r="3" spans="1:20" ht="42.75">
      <c r="A3" s="1" t="s">
        <v>24</v>
      </c>
      <c r="B3" s="1">
        <v>0.19731634658855901</v>
      </c>
      <c r="C3" s="1">
        <v>1.5325762315687601</v>
      </c>
      <c r="D3" s="1">
        <v>1.7362324286832099E-3</v>
      </c>
      <c r="E3" s="1">
        <v>-2.4961065897679998E-4</v>
      </c>
      <c r="F3" s="1">
        <v>3.6262484863739002</v>
      </c>
      <c r="G3" s="1">
        <v>39.659854492944902</v>
      </c>
      <c r="H3" s="1">
        <v>5.8152860159172597E-4</v>
      </c>
    </row>
    <row r="4" spans="1:20" ht="42.75">
      <c r="A4" s="1" t="s">
        <v>25</v>
      </c>
      <c r="B4" s="1">
        <v>0.19499427606217101</v>
      </c>
      <c r="C4" s="1">
        <v>1.5331131045165201</v>
      </c>
      <c r="D4" s="1">
        <v>1.1842158851595201E-3</v>
      </c>
      <c r="E4" s="1">
        <v>-1.4713313282947699E-4</v>
      </c>
      <c r="F4" s="1">
        <v>3.4155178836144202</v>
      </c>
      <c r="G4" s="1">
        <v>39.649840540202497</v>
      </c>
      <c r="H4" s="1">
        <v>5.7857693431708304E-4</v>
      </c>
    </row>
    <row r="5" spans="1:20" ht="42.75">
      <c r="A5" s="1" t="s">
        <v>26</v>
      </c>
      <c r="B5" s="1">
        <v>0.19929121653023299</v>
      </c>
      <c r="C5" s="1">
        <v>1.5324940105671601</v>
      </c>
      <c r="D5" s="1">
        <v>1.19717851466834E-3</v>
      </c>
      <c r="E5" s="1">
        <v>-1.4649688082538499E-4</v>
      </c>
      <c r="F5" s="1">
        <v>3.4180716322854998</v>
      </c>
      <c r="G5" s="1">
        <v>40.646989566000698</v>
      </c>
      <c r="H5" s="1">
        <v>6.1599967655668404E-4</v>
      </c>
    </row>
    <row r="6" spans="1:20" ht="42.75">
      <c r="A6" s="1" t="s">
        <v>11</v>
      </c>
      <c r="B6" s="1">
        <v>0.19845180139427099</v>
      </c>
      <c r="C6" s="1">
        <v>1.53396766694919</v>
      </c>
      <c r="D6" s="1">
        <v>1.16150444728215E-3</v>
      </c>
      <c r="E6" s="1">
        <v>-1.6036216832798501E-4</v>
      </c>
      <c r="F6" s="1">
        <v>3.4110177921734399</v>
      </c>
      <c r="G6" s="1">
        <v>39.724309930056201</v>
      </c>
      <c r="H6" s="1">
        <v>5.7857693431695597E-4</v>
      </c>
    </row>
    <row r="7" spans="1:20" ht="42.75">
      <c r="A7" s="1" t="s">
        <v>12</v>
      </c>
      <c r="B7" s="1">
        <v>0.20114408935894201</v>
      </c>
      <c r="C7" s="1">
        <v>1.5346220840060201</v>
      </c>
      <c r="D7" s="1">
        <v>1.04314987089582E-3</v>
      </c>
      <c r="E7" s="1">
        <v>-1.8819482655209601E-4</v>
      </c>
      <c r="F7" s="1">
        <v>3.41682816409253</v>
      </c>
      <c r="G7" s="1">
        <v>39.735128830009003</v>
      </c>
      <c r="H7" s="1">
        <v>5.8855000029218898E-4</v>
      </c>
    </row>
    <row r="8" spans="1:20" ht="42.75">
      <c r="A8" s="1" t="s">
        <v>13</v>
      </c>
      <c r="B8" s="1">
        <v>0.198751656579995</v>
      </c>
      <c r="C8" s="1">
        <v>1.53566688361473</v>
      </c>
      <c r="D8" s="1">
        <v>9.3137444354646096E-4</v>
      </c>
      <c r="E8" s="1">
        <v>-1.06426607812294E-4</v>
      </c>
      <c r="F8" s="1">
        <v>3.6655588662462399</v>
      </c>
      <c r="G8" s="1">
        <v>41.747996291939302</v>
      </c>
      <c r="H8" s="1">
        <v>1.15710233262069E-3</v>
      </c>
    </row>
    <row r="9" spans="1:20" ht="42.75">
      <c r="A9" s="1" t="s">
        <v>14</v>
      </c>
      <c r="B9" s="1">
        <v>0.19986305957069</v>
      </c>
      <c r="C9" s="1">
        <v>1.53377174040112</v>
      </c>
      <c r="D9" s="1">
        <v>1.26475612524562E-3</v>
      </c>
      <c r="E9" s="1">
        <v>-1.72322171405127E-4</v>
      </c>
      <c r="F9" s="1">
        <v>3.6682085702620602</v>
      </c>
      <c r="G9" s="1">
        <v>39.810490215675301</v>
      </c>
      <c r="H9" s="1">
        <v>6.0423747657981097E-4</v>
      </c>
    </row>
    <row r="10" spans="1:20" ht="42.75">
      <c r="A10" s="1" t="s">
        <v>15</v>
      </c>
      <c r="B10" s="1">
        <v>0.19941466362585</v>
      </c>
      <c r="C10" s="1">
        <v>1.5358679740365</v>
      </c>
      <c r="D10" s="1">
        <v>1.39599837980637E-3</v>
      </c>
      <c r="E10" s="1">
        <v>-1.5959564927840099E-4</v>
      </c>
      <c r="F10" s="1">
        <v>3.6689612107596399</v>
      </c>
      <c r="G10" s="1">
        <v>39.930527978064497</v>
      </c>
      <c r="H10" s="1">
        <v>6.4236996068068697E-4</v>
      </c>
    </row>
    <row r="11" spans="1:20" ht="42.75">
      <c r="A11" s="1" t="s">
        <v>16</v>
      </c>
      <c r="B11" s="1">
        <v>0.19974551641855301</v>
      </c>
      <c r="C11" s="1">
        <v>1.53460907106027</v>
      </c>
      <c r="D11" s="1">
        <v>1.4927493609302701E-3</v>
      </c>
      <c r="E11" s="1">
        <v>-1.84491339744843E-4</v>
      </c>
      <c r="F11" s="1">
        <v>3.6655119298122401</v>
      </c>
      <c r="G11" s="1">
        <v>39.834761033065902</v>
      </c>
      <c r="H11" s="1">
        <v>5.7915923454981695E-4</v>
      </c>
    </row>
    <row r="12" spans="1:20" ht="42.75">
      <c r="A12" s="1" t="s">
        <v>17</v>
      </c>
      <c r="B12" s="1">
        <v>0.19734425148693999</v>
      </c>
      <c r="C12" s="1">
        <v>1.5344716795183999</v>
      </c>
      <c r="D12" s="1">
        <v>1.4116241007738699E-3</v>
      </c>
      <c r="E12" s="1">
        <v>-1.6850117757017701E-4</v>
      </c>
      <c r="F12" s="1">
        <v>3.6624704973739801</v>
      </c>
      <c r="G12" s="1">
        <v>39.8418670058619</v>
      </c>
      <c r="H12" s="1">
        <v>5.8268065912341104E-4</v>
      </c>
    </row>
    <row r="13" spans="1:20" ht="42.75">
      <c r="A13" s="1" t="s">
        <v>18</v>
      </c>
      <c r="B13" s="1">
        <v>0.20451746200448701</v>
      </c>
      <c r="C13" s="1">
        <v>1.53309472608373</v>
      </c>
      <c r="D13" s="1">
        <v>2.140289682822E-3</v>
      </c>
      <c r="E13" s="1">
        <v>-2.6350232311559899E-4</v>
      </c>
      <c r="F13" s="1">
        <v>3.6650280530497601</v>
      </c>
      <c r="G13" s="1">
        <v>41.841672725061997</v>
      </c>
      <c r="H13" s="1">
        <v>1.13792680856548E-3</v>
      </c>
    </row>
    <row r="14" spans="1:20" ht="42.75">
      <c r="A14" s="1" t="s">
        <v>19</v>
      </c>
      <c r="B14" s="1">
        <v>0.20186014691704701</v>
      </c>
      <c r="C14" s="1">
        <v>1.5372232915827899</v>
      </c>
      <c r="D14" s="1">
        <v>9.8256106447095794E-4</v>
      </c>
      <c r="E14" s="1">
        <v>-1.7252086624610201E-4</v>
      </c>
      <c r="F14" s="1">
        <v>2.3785407229825801</v>
      </c>
      <c r="G14" s="1">
        <v>41.8829872513477</v>
      </c>
      <c r="H14" s="1">
        <v>1.1571512453511801E-3</v>
      </c>
    </row>
    <row r="15" spans="1:20" ht="42.75">
      <c r="A15" s="1" t="s">
        <v>20</v>
      </c>
      <c r="B15" s="1">
        <v>0.19616147617243301</v>
      </c>
      <c r="C15" s="1">
        <v>1.5322874450635</v>
      </c>
      <c r="D15" s="1">
        <v>2.1174753786358299E-3</v>
      </c>
      <c r="E15" s="1">
        <v>-2.4434144565784897E-4</v>
      </c>
      <c r="F15" s="1">
        <v>3.6715264329371098</v>
      </c>
      <c r="G15" s="1">
        <v>39.870584665821298</v>
      </c>
      <c r="H15" s="1">
        <v>5.7968920473327904E-4</v>
      </c>
    </row>
    <row r="16" spans="1:20" ht="42.75">
      <c r="A16" s="1" t="s">
        <v>21</v>
      </c>
      <c r="B16" s="1">
        <v>0.20141708222610599</v>
      </c>
      <c r="C16" s="1">
        <v>1.53369612235063</v>
      </c>
      <c r="D16" s="1">
        <v>2.4103968183299498E-3</v>
      </c>
      <c r="E16" s="1">
        <v>-2.8769265408457202E-4</v>
      </c>
      <c r="F16" s="1">
        <v>3.65521373769807</v>
      </c>
      <c r="G16" s="1">
        <v>41.904495412673299</v>
      </c>
      <c r="H16" s="1">
        <v>1.15715014797924E-3</v>
      </c>
    </row>
    <row r="17" spans="1:8" ht="42.75">
      <c r="A17" s="1" t="s">
        <v>22</v>
      </c>
      <c r="B17" s="1">
        <v>0.20570646230981299</v>
      </c>
      <c r="C17" s="1">
        <v>1.53667099434763</v>
      </c>
      <c r="D17" s="1">
        <v>2.0187683747615098E-3</v>
      </c>
      <c r="E17" s="1">
        <v>-3.36052586663455E-4</v>
      </c>
      <c r="F17" s="1">
        <v>2.6652488946657602</v>
      </c>
      <c r="G17" s="1">
        <v>41.9249290799984</v>
      </c>
      <c r="H17" s="1">
        <v>1.15715386858856E-3</v>
      </c>
    </row>
    <row r="18" spans="1:8" ht="42.75">
      <c r="A18" s="1" t="s">
        <v>31</v>
      </c>
      <c r="B18" s="1">
        <v>0.198433606499996</v>
      </c>
      <c r="C18" s="1">
        <v>1.53703721077572</v>
      </c>
      <c r="D18" s="1">
        <v>8.9030775716636196E-4</v>
      </c>
      <c r="E18" s="1">
        <v>-1.91612780406248E-4</v>
      </c>
      <c r="F18" s="1">
        <v>2.1662246452276799</v>
      </c>
      <c r="G18" s="1">
        <v>39.912203147479197</v>
      </c>
      <c r="H18" s="1">
        <v>6.2684121929558402E-4</v>
      </c>
    </row>
    <row r="19" spans="1:8" ht="42.75">
      <c r="A19" s="1" t="s">
        <v>32</v>
      </c>
      <c r="B19" s="1">
        <v>0.19684836052329399</v>
      </c>
      <c r="C19" s="1">
        <v>1.53682687135992</v>
      </c>
      <c r="D19" s="1">
        <v>1.0306078163870699E-3</v>
      </c>
      <c r="E19" s="1">
        <v>-1.5052661503212999E-4</v>
      </c>
      <c r="F19" s="1">
        <v>2.1660148890812798</v>
      </c>
      <c r="G19" s="1">
        <v>39.9208257108439</v>
      </c>
      <c r="H19" s="1">
        <v>5.98957183416692E-4</v>
      </c>
    </row>
    <row r="20" spans="1:8" ht="42.75">
      <c r="A20" s="1" t="s">
        <v>33</v>
      </c>
      <c r="B20" s="1">
        <v>0.19797213592714</v>
      </c>
      <c r="C20" s="1">
        <v>1.53797097006437</v>
      </c>
      <c r="D20" s="1">
        <v>7.8857199206795899E-4</v>
      </c>
      <c r="E20" s="1">
        <v>-1.11096886899533E-4</v>
      </c>
      <c r="F20" s="1">
        <v>1.91620242568738</v>
      </c>
      <c r="G20" s="1">
        <v>39.9380618151989</v>
      </c>
      <c r="H20" s="1">
        <v>5.7857711397154502E-4</v>
      </c>
    </row>
    <row r="21" spans="1:8" ht="42.75">
      <c r="A21" s="1" t="s">
        <v>27</v>
      </c>
      <c r="B21" s="1">
        <v>0.19746160960659001</v>
      </c>
      <c r="C21" s="1">
        <v>1.5377912888207299</v>
      </c>
      <c r="D21" s="1">
        <v>1.0315597785770299E-3</v>
      </c>
      <c r="E21" s="1">
        <v>-1.5617765394321801E-4</v>
      </c>
      <c r="F21" s="1">
        <v>2.16459409094068</v>
      </c>
      <c r="G21" s="1">
        <v>39.942100280001</v>
      </c>
      <c r="H21" s="1">
        <v>5.7857693436110002E-4</v>
      </c>
    </row>
    <row r="22" spans="1:8" ht="42.75">
      <c r="A22" s="1" t="s">
        <v>28</v>
      </c>
      <c r="B22" s="1">
        <v>0.201235306306627</v>
      </c>
      <c r="C22" s="1">
        <v>1.5385355536295999</v>
      </c>
      <c r="D22" s="1">
        <v>1.0545236320853399E-3</v>
      </c>
      <c r="E22" s="1">
        <v>-1.6652063188563201E-4</v>
      </c>
      <c r="F22" s="1">
        <v>1.9153349314619901</v>
      </c>
      <c r="G22" s="1">
        <v>41.072924313030398</v>
      </c>
      <c r="H22" s="1">
        <v>6.1130145336541104E-4</v>
      </c>
    </row>
    <row r="23" spans="1:8" ht="42.75">
      <c r="A23" s="1" t="s">
        <v>29</v>
      </c>
      <c r="B23" s="1">
        <v>0.19609449317179301</v>
      </c>
      <c r="C23" s="1">
        <v>1.54050077260495</v>
      </c>
      <c r="D23" s="1">
        <v>9.2736795036745998E-4</v>
      </c>
      <c r="E23" s="1">
        <v>-1.18749717131734E-4</v>
      </c>
      <c r="F23" s="1">
        <v>2.1693236689642998</v>
      </c>
      <c r="G23" s="1">
        <v>40.002655441238097</v>
      </c>
      <c r="H23" s="1">
        <v>6.4235271668997202E-4</v>
      </c>
    </row>
    <row r="24" spans="1:8" ht="42.75">
      <c r="A24" s="1" t="s">
        <v>30</v>
      </c>
      <c r="B24" s="1">
        <v>0.198095518321387</v>
      </c>
      <c r="C24" s="1">
        <v>1.5396693456839099</v>
      </c>
      <c r="D24" s="1">
        <v>2.0421799979558801E-3</v>
      </c>
      <c r="E24" s="1">
        <v>-2.9987791974024001E-4</v>
      </c>
      <c r="F24" s="1">
        <v>2.4120291075526699</v>
      </c>
      <c r="G24" s="1">
        <v>40.012278840144198</v>
      </c>
      <c r="H24" s="1">
        <v>5.7857693432276198E-4</v>
      </c>
    </row>
    <row r="25" spans="1:8" ht="42.75">
      <c r="A25" s="1" t="s">
        <v>34</v>
      </c>
      <c r="B25" s="1">
        <v>0.201202131188608</v>
      </c>
      <c r="C25" s="1">
        <v>1.54071283209849</v>
      </c>
      <c r="D25" s="1">
        <v>1.02838840321871E-3</v>
      </c>
      <c r="E25" s="1">
        <v>-1.4108550411155699E-4</v>
      </c>
      <c r="F25" s="1">
        <v>1.9136411567612199</v>
      </c>
      <c r="G25" s="1">
        <v>40.145154929747399</v>
      </c>
      <c r="H25" s="1">
        <v>7.9238149706494399E-4</v>
      </c>
    </row>
    <row r="26" spans="1:8" ht="42.75">
      <c r="A26" s="1" t="s">
        <v>35</v>
      </c>
      <c r="B26" s="1">
        <v>0.19854017174952801</v>
      </c>
      <c r="C26" s="1">
        <v>1.54065616468318</v>
      </c>
      <c r="D26" s="1">
        <v>1.07253335140665E-3</v>
      </c>
      <c r="E26" s="1">
        <v>-1.60382971276615E-4</v>
      </c>
      <c r="F26" s="1">
        <v>1.9176605052327</v>
      </c>
      <c r="G26" s="1">
        <v>40.084837720003698</v>
      </c>
      <c r="H26" s="1">
        <v>5.7857693434489401E-4</v>
      </c>
    </row>
    <row r="27" spans="1:8" ht="42.75">
      <c r="A27" s="1" t="s">
        <v>36</v>
      </c>
      <c r="B27" s="1">
        <v>0.20017070885951799</v>
      </c>
      <c r="C27" s="1">
        <v>1.5404036386186599</v>
      </c>
      <c r="D27" s="1">
        <v>1.10705073013245E-3</v>
      </c>
      <c r="E27" s="1">
        <v>-1.5193379721210599E-4</v>
      </c>
      <c r="F27" s="1">
        <v>1.9280476320878801</v>
      </c>
      <c r="G27" s="1">
        <v>42.012169051090801</v>
      </c>
      <c r="H27" s="1">
        <v>1.1531671710992601E-3</v>
      </c>
    </row>
    <row r="28" spans="1:8" ht="42.75">
      <c r="A28" s="1" t="s">
        <v>37</v>
      </c>
      <c r="B28" s="1">
        <v>0.19706209535145</v>
      </c>
      <c r="C28" s="1">
        <v>1.5410019101857999</v>
      </c>
      <c r="D28" s="1">
        <v>8.7650443534686203E-4</v>
      </c>
      <c r="E28" s="1">
        <v>-1.19154075123252E-4</v>
      </c>
      <c r="F28" s="1">
        <v>1.6737394929261999</v>
      </c>
      <c r="G28" s="1">
        <v>40.126663572756698</v>
      </c>
      <c r="H28" s="1">
        <v>1.11292458919408E-3</v>
      </c>
    </row>
    <row r="29" spans="1:8" ht="42.75">
      <c r="A29" s="1" t="s">
        <v>38</v>
      </c>
      <c r="B29" s="1">
        <v>0.200682963445732</v>
      </c>
      <c r="C29" s="1">
        <v>1.5389962904085099</v>
      </c>
      <c r="D29" s="1">
        <v>1.0686995005526E-3</v>
      </c>
      <c r="E29" s="1">
        <v>-1.49314408589812E-4</v>
      </c>
      <c r="F29" s="1">
        <v>1.87793098402192</v>
      </c>
      <c r="G29" s="1">
        <v>42.1306966499194</v>
      </c>
      <c r="H29" s="1">
        <v>6.9504625956987704E-4</v>
      </c>
    </row>
    <row r="30" spans="1:8" ht="42.75">
      <c r="A30" s="1" t="s">
        <v>39</v>
      </c>
      <c r="B30" s="1">
        <v>0.19843356572069301</v>
      </c>
      <c r="C30" s="1">
        <v>1.53965330946838</v>
      </c>
      <c r="D30" s="1">
        <v>9.6885811848044297E-4</v>
      </c>
      <c r="E30" s="1">
        <v>-1.20798063154706E-4</v>
      </c>
      <c r="F30" s="1">
        <v>1.9181781030656999</v>
      </c>
      <c r="G30" s="1">
        <v>40.157384424517403</v>
      </c>
      <c r="H30" s="1">
        <v>5.8304272458532E-4</v>
      </c>
    </row>
    <row r="31" spans="1:8" ht="42.75">
      <c r="A31" s="1" t="s">
        <v>40</v>
      </c>
      <c r="B31" s="1">
        <v>0.19746491101406</v>
      </c>
      <c r="C31" s="1">
        <v>1.5396800422580701</v>
      </c>
      <c r="D31" s="1">
        <v>7.7184519752308996E-4</v>
      </c>
      <c r="E31" s="2">
        <v>-5.9195175119446801E-5</v>
      </c>
      <c r="F31" s="1">
        <v>1.66462072229951</v>
      </c>
      <c r="G31" s="1">
        <v>41.812213882419101</v>
      </c>
      <c r="H31" s="1">
        <v>1.1564519884125399E-3</v>
      </c>
    </row>
    <row r="32" spans="1:8" ht="42.75">
      <c r="A32" s="1" t="s">
        <v>41</v>
      </c>
      <c r="B32" s="1">
        <v>0.201690348999186</v>
      </c>
      <c r="C32" s="1">
        <v>1.5388815259605999</v>
      </c>
      <c r="D32" s="1">
        <v>1.25729050302833E-3</v>
      </c>
      <c r="E32" s="1">
        <v>-1.7376737329282999E-4</v>
      </c>
      <c r="F32" s="1">
        <v>2.1604332296322499</v>
      </c>
      <c r="G32" s="1">
        <v>42.193520033336199</v>
      </c>
      <c r="H32" s="1">
        <v>1.056585509583E-3</v>
      </c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2"/>
      <c r="F38" s="1"/>
      <c r="G38" s="1"/>
      <c r="H38" s="1"/>
    </row>
    <row r="39" spans="1:8">
      <c r="A39" s="1"/>
      <c r="B39" s="1"/>
      <c r="C39" s="1"/>
      <c r="D39" s="1"/>
      <c r="E39" s="2"/>
      <c r="F39" s="1"/>
      <c r="G39" s="1"/>
      <c r="H39" s="1"/>
    </row>
    <row r="40" spans="1:8">
      <c r="A40" s="1"/>
      <c r="B40" s="1"/>
      <c r="C40" s="1"/>
      <c r="D40" s="1"/>
      <c r="E40" s="2"/>
      <c r="F40" s="1"/>
      <c r="G40" s="1"/>
      <c r="H40" s="1"/>
    </row>
    <row r="41" spans="1:8">
      <c r="A41" s="1"/>
      <c r="B41" s="1"/>
      <c r="C41" s="1"/>
      <c r="D41" s="1"/>
      <c r="E41" s="2"/>
      <c r="F41" s="1"/>
      <c r="G41" s="1"/>
      <c r="H41" s="1"/>
    </row>
    <row r="42" spans="1:8">
      <c r="A42" s="1"/>
      <c r="B42" s="1"/>
      <c r="C42" s="1"/>
      <c r="D42" s="1"/>
      <c r="E42" s="2"/>
      <c r="F42" s="1"/>
      <c r="G42" s="1"/>
      <c r="H42" s="1"/>
    </row>
    <row r="43" spans="1:8">
      <c r="A43" s="1"/>
      <c r="B43" s="1"/>
      <c r="C43" s="1"/>
      <c r="D43" s="1"/>
      <c r="E43" s="2"/>
      <c r="F43" s="1"/>
      <c r="G43" s="1"/>
      <c r="H43" s="1"/>
    </row>
    <row r="44" spans="1:8">
      <c r="A44" s="1"/>
      <c r="B44" s="1"/>
      <c r="C44" s="1"/>
      <c r="D44" s="2"/>
      <c r="E44" s="2"/>
      <c r="F44" s="1"/>
      <c r="G44" s="1"/>
      <c r="H4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B368-1F4F-4C65-B86B-93EC676CB77B}">
  <dimension ref="A1:K39"/>
  <sheetViews>
    <sheetView tabSelected="1" workbookViewId="0">
      <selection activeCell="L14" sqref="L14"/>
    </sheetView>
  </sheetViews>
  <sheetFormatPr defaultRowHeight="14.25"/>
  <cols>
    <col min="5" max="5" width="16.75" customWidth="1"/>
  </cols>
  <sheetData>
    <row r="1" spans="1:11">
      <c r="A1" s="1" t="s">
        <v>0</v>
      </c>
      <c r="B1" s="1" t="s">
        <v>4</v>
      </c>
      <c r="C1" s="1" t="s">
        <v>4</v>
      </c>
    </row>
    <row r="2" spans="1:11" ht="42.75">
      <c r="A2" s="1" t="s">
        <v>23</v>
      </c>
      <c r="B2" s="1">
        <v>15.5831740366148</v>
      </c>
      <c r="C2" s="1">
        <v>0.20299557534608501</v>
      </c>
      <c r="F2">
        <v>894</v>
      </c>
      <c r="G2">
        <v>456</v>
      </c>
      <c r="K2" s="1"/>
    </row>
    <row r="3" spans="1:11" ht="42.75">
      <c r="A3" s="1" t="s">
        <v>24</v>
      </c>
      <c r="B3" s="1">
        <v>15.6181213588261</v>
      </c>
      <c r="C3" s="1">
        <v>0.19731634658855901</v>
      </c>
      <c r="E3" t="s">
        <v>1</v>
      </c>
      <c r="F3">
        <f>AVERAGE(B2:B33)</f>
        <v>15.569982695387148</v>
      </c>
      <c r="G3">
        <f>AVERAGE(C2:C33)</f>
        <v>0.1993665486863799</v>
      </c>
      <c r="K3" s="1"/>
    </row>
    <row r="4" spans="1:11" ht="42.75">
      <c r="A4" s="1" t="s">
        <v>25</v>
      </c>
      <c r="B4" s="1">
        <v>15.471660411280601</v>
      </c>
      <c r="C4" s="1">
        <v>0.19499427606217101</v>
      </c>
      <c r="E4" t="s">
        <v>2</v>
      </c>
      <c r="F4">
        <f>_xlfn.STDEV.S(B2:B33)</f>
        <v>9.9928034112322414E-2</v>
      </c>
      <c r="G4">
        <f>_xlfn.STDEV.S(C2:C33)</f>
        <v>2.4698309486633186E-3</v>
      </c>
      <c r="K4" s="1"/>
    </row>
    <row r="5" spans="1:11" ht="42.75">
      <c r="A5" s="1" t="s">
        <v>26</v>
      </c>
      <c r="B5" s="1">
        <v>15.4286358328345</v>
      </c>
      <c r="C5" s="1">
        <v>0.19929121653023299</v>
      </c>
      <c r="E5" t="s">
        <v>3</v>
      </c>
      <c r="F5">
        <f>F4/F3/SQRT(COUNT(B2:B33))</f>
        <v>1.1527055038412337E-3</v>
      </c>
      <c r="G5">
        <f>G4/G3/SQRT(COUNT(C2:C33))</f>
        <v>2.2250208794433344E-3</v>
      </c>
      <c r="K5" s="1"/>
    </row>
    <row r="6" spans="1:11" ht="42.75">
      <c r="A6" s="1" t="s">
        <v>11</v>
      </c>
      <c r="B6" s="1">
        <v>15.725390191826</v>
      </c>
      <c r="C6" s="1">
        <v>0.19845180139427099</v>
      </c>
      <c r="K6" s="1"/>
    </row>
    <row r="7" spans="1:11" ht="42.75">
      <c r="A7" s="1" t="s">
        <v>12</v>
      </c>
      <c r="B7" s="1">
        <v>15.6295450777592</v>
      </c>
      <c r="C7" s="1">
        <v>0.20114408935894201</v>
      </c>
      <c r="K7" s="1"/>
    </row>
    <row r="8" spans="1:11" ht="42.75">
      <c r="A8" s="1" t="s">
        <v>13</v>
      </c>
      <c r="B8" s="1">
        <v>15.5447105698267</v>
      </c>
      <c r="C8" s="1">
        <v>0.198751656579995</v>
      </c>
      <c r="K8" s="1"/>
    </row>
    <row r="9" spans="1:11" ht="42.75">
      <c r="A9" s="1" t="s">
        <v>14</v>
      </c>
      <c r="B9" s="1">
        <v>15.641779033917301</v>
      </c>
      <c r="C9" s="1">
        <v>0.19986305957069</v>
      </c>
      <c r="K9" s="1"/>
    </row>
    <row r="10" spans="1:11" ht="42.75">
      <c r="A10" s="1" t="s">
        <v>15</v>
      </c>
      <c r="B10" s="1">
        <v>15.560241393406899</v>
      </c>
      <c r="C10" s="1">
        <v>0.19941466362585</v>
      </c>
      <c r="K10" s="1"/>
    </row>
    <row r="11" spans="1:11" ht="42.75">
      <c r="A11" s="1" t="s">
        <v>16</v>
      </c>
      <c r="B11" s="1">
        <v>15.6798903930978</v>
      </c>
      <c r="C11" s="1">
        <v>0.19974551641855301</v>
      </c>
      <c r="K11" s="1"/>
    </row>
    <row r="12" spans="1:11" ht="42.75">
      <c r="A12" s="1" t="s">
        <v>17</v>
      </c>
      <c r="B12" s="1">
        <v>15.5257705053734</v>
      </c>
      <c r="C12" s="1">
        <v>0.19734425148693999</v>
      </c>
      <c r="K12" s="1"/>
    </row>
    <row r="13" spans="1:11" ht="42.75">
      <c r="A13" s="1" t="s">
        <v>18</v>
      </c>
      <c r="B13" s="1">
        <v>15.5068553708303</v>
      </c>
      <c r="C13" s="1">
        <v>0.20451746200448701</v>
      </c>
      <c r="K13" s="1"/>
    </row>
    <row r="14" spans="1:11" ht="42.75">
      <c r="A14" s="1" t="s">
        <v>19</v>
      </c>
      <c r="B14" s="1">
        <v>15.7245514226287</v>
      </c>
      <c r="C14" s="1">
        <v>0.20186014691704701</v>
      </c>
      <c r="K14" s="1"/>
    </row>
    <row r="15" spans="1:11" ht="42.75">
      <c r="A15" s="1" t="s">
        <v>20</v>
      </c>
      <c r="B15" s="1">
        <v>15.653971830187899</v>
      </c>
      <c r="C15" s="1">
        <v>0.19616147617243301</v>
      </c>
      <c r="K15" s="1"/>
    </row>
    <row r="16" spans="1:11" ht="42.75">
      <c r="A16" s="1" t="s">
        <v>21</v>
      </c>
      <c r="B16" s="1">
        <v>15.585241971938</v>
      </c>
      <c r="C16" s="1">
        <v>0.20141708222610599</v>
      </c>
      <c r="K16" s="1"/>
    </row>
    <row r="17" spans="1:11" ht="42.75">
      <c r="A17" s="1" t="s">
        <v>22</v>
      </c>
      <c r="B17" s="1">
        <v>15.591441713773801</v>
      </c>
      <c r="C17" s="1">
        <v>0.20570646230981299</v>
      </c>
      <c r="K17" s="1"/>
    </row>
    <row r="18" spans="1:11" ht="42.75">
      <c r="A18" s="1" t="s">
        <v>31</v>
      </c>
      <c r="B18" s="1">
        <v>15.513624662526899</v>
      </c>
      <c r="C18" s="1">
        <v>0.198433606499996</v>
      </c>
      <c r="K18" s="1"/>
    </row>
    <row r="19" spans="1:11" ht="42.75">
      <c r="A19" s="1" t="s">
        <v>32</v>
      </c>
      <c r="B19" s="1">
        <v>15.550450799138201</v>
      </c>
      <c r="C19" s="1">
        <v>0.19684836052329399</v>
      </c>
      <c r="K19" s="1"/>
    </row>
    <row r="20" spans="1:11" ht="42.75">
      <c r="A20" s="1" t="s">
        <v>33</v>
      </c>
      <c r="B20" s="1">
        <v>15.5999990421973</v>
      </c>
      <c r="C20" s="1">
        <v>0.19797213592714</v>
      </c>
      <c r="K20" s="1"/>
    </row>
    <row r="21" spans="1:11" ht="42.75">
      <c r="A21" s="1" t="s">
        <v>27</v>
      </c>
      <c r="B21" s="1">
        <v>15.5612294230614</v>
      </c>
      <c r="C21" s="1">
        <v>0.19746160960659001</v>
      </c>
      <c r="K21" s="1"/>
    </row>
    <row r="22" spans="1:11" ht="42.75">
      <c r="A22" s="1" t="s">
        <v>28</v>
      </c>
      <c r="B22" s="1">
        <v>15.389959627991299</v>
      </c>
      <c r="C22" s="1">
        <v>0.201235306306627</v>
      </c>
      <c r="K22" s="1"/>
    </row>
    <row r="23" spans="1:11" ht="42.75">
      <c r="A23" s="1" t="s">
        <v>29</v>
      </c>
      <c r="B23" s="1">
        <v>15.6769168147221</v>
      </c>
      <c r="C23" s="1">
        <v>0.19609449317179301</v>
      </c>
      <c r="K23" s="1"/>
    </row>
    <row r="24" spans="1:11" ht="42.75">
      <c r="A24" s="1" t="s">
        <v>30</v>
      </c>
      <c r="B24" s="1">
        <v>15.516217850365001</v>
      </c>
      <c r="C24" s="1">
        <v>0.198095518321387</v>
      </c>
      <c r="K24" s="1"/>
    </row>
    <row r="25" spans="1:11" ht="42.75">
      <c r="A25" s="1" t="s">
        <v>34</v>
      </c>
      <c r="B25" s="1">
        <v>15.4712021433598</v>
      </c>
      <c r="C25" s="1">
        <v>0.201202131188608</v>
      </c>
      <c r="K25" s="1"/>
    </row>
    <row r="26" spans="1:11" ht="42.75">
      <c r="A26" s="1" t="s">
        <v>35</v>
      </c>
      <c r="B26" s="1">
        <v>15.4267437621642</v>
      </c>
      <c r="C26" s="1">
        <v>0.19854017174952801</v>
      </c>
      <c r="K26" s="1"/>
    </row>
    <row r="27" spans="1:11" ht="42.75">
      <c r="A27" s="1" t="s">
        <v>36</v>
      </c>
      <c r="B27" s="1">
        <v>15.363023447442201</v>
      </c>
      <c r="C27" s="1">
        <v>0.20017070885951799</v>
      </c>
      <c r="K27" s="1"/>
    </row>
    <row r="28" spans="1:11" ht="42.75">
      <c r="A28" s="1" t="s">
        <v>37</v>
      </c>
      <c r="B28" s="1">
        <v>15.4784018893041</v>
      </c>
      <c r="C28" s="1">
        <v>0.19706209535145</v>
      </c>
      <c r="K28" s="1"/>
    </row>
    <row r="29" spans="1:11" ht="42.75">
      <c r="A29" s="1" t="s">
        <v>38</v>
      </c>
      <c r="B29" s="1">
        <v>15.598700910453401</v>
      </c>
      <c r="C29" s="1">
        <v>0.200682963445732</v>
      </c>
      <c r="K29" s="1"/>
    </row>
    <row r="30" spans="1:11" ht="42.75">
      <c r="A30" s="1" t="s">
        <v>39</v>
      </c>
      <c r="B30" s="1">
        <v>15.699463941581101</v>
      </c>
      <c r="C30" s="1">
        <v>0.19843356572069301</v>
      </c>
      <c r="K30" s="1"/>
    </row>
    <row r="31" spans="1:11" ht="42.75">
      <c r="A31" s="1" t="s">
        <v>40</v>
      </c>
      <c r="B31" s="1">
        <v>15.751226314712399</v>
      </c>
      <c r="C31" s="1">
        <v>0.19746491101406</v>
      </c>
      <c r="K31" s="1"/>
    </row>
    <row r="32" spans="1:11" ht="42.75">
      <c r="A32" s="1" t="s">
        <v>41</v>
      </c>
      <c r="B32" s="1">
        <v>15.601321813860199</v>
      </c>
      <c r="C32" s="1">
        <v>0.201690348999186</v>
      </c>
      <c r="K32" s="1"/>
    </row>
    <row r="33" spans="1:3">
      <c r="A33" s="1"/>
      <c r="B33" s="1"/>
      <c r="C33" s="1"/>
    </row>
    <row r="34" spans="1:3">
      <c r="C34" s="1"/>
    </row>
    <row r="35" spans="1:3">
      <c r="C35" s="1"/>
    </row>
    <row r="36" spans="1:3">
      <c r="C36" s="1"/>
    </row>
    <row r="37" spans="1:3">
      <c r="C37" s="1"/>
    </row>
    <row r="38" spans="1:3">
      <c r="C38" s="1"/>
    </row>
    <row r="39" spans="1:3">
      <c r="C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894</vt:lpstr>
      <vt:lpstr>456</vt:lpstr>
      <vt:lpstr>AbsCoef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2026-06-24T14:26:48Z</dcterms:created>
  <dcterms:modified xsi:type="dcterms:W3CDTF">2026-07-02T20:27:16Z</dcterms:modified>
</cp:coreProperties>
</file>